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HISHEK\Downloads\"/>
    </mc:Choice>
  </mc:AlternateContent>
  <bookViews>
    <workbookView xWindow="0" yWindow="0" windowWidth="7185" windowHeight="7485" tabRatio="500" activeTab="3"/>
  </bookViews>
  <sheets>
    <sheet name="Raw Data" sheetId="2" r:id="rId1"/>
    <sheet name="KPI Calculations" sheetId="3" r:id="rId2"/>
    <sheet name="Cost Impact" sheetId="4" r:id="rId3"/>
    <sheet name="Monthly Summary" sheetId="5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8" i="4" l="1"/>
  <c r="B44" i="4"/>
  <c r="F41" i="4"/>
  <c r="E41" i="4"/>
  <c r="D41" i="4"/>
  <c r="G41" i="4" s="1"/>
  <c r="H41" i="4" s="1"/>
  <c r="C41" i="4"/>
  <c r="B41" i="4"/>
  <c r="F40" i="4"/>
  <c r="E40" i="4"/>
  <c r="D40" i="4"/>
  <c r="G40" i="4" s="1"/>
  <c r="H40" i="4" s="1"/>
  <c r="C40" i="4"/>
  <c r="B40" i="4"/>
  <c r="F39" i="4"/>
  <c r="E39" i="4"/>
  <c r="D39" i="4"/>
  <c r="G39" i="4" s="1"/>
  <c r="H39" i="4" s="1"/>
  <c r="C39" i="4"/>
  <c r="B39" i="4"/>
  <c r="G38" i="4"/>
  <c r="H38" i="4" s="1"/>
  <c r="F38" i="4"/>
  <c r="E38" i="4"/>
  <c r="D38" i="4"/>
  <c r="C38" i="4"/>
  <c r="B38" i="4"/>
  <c r="F37" i="4"/>
  <c r="G37" i="4" s="1"/>
  <c r="H37" i="4" s="1"/>
  <c r="E37" i="4"/>
  <c r="D37" i="4"/>
  <c r="C37" i="4"/>
  <c r="B37" i="4"/>
  <c r="F36" i="4"/>
  <c r="E36" i="4"/>
  <c r="G36" i="4" s="1"/>
  <c r="H36" i="4" s="1"/>
  <c r="D36" i="4"/>
  <c r="C36" i="4"/>
  <c r="B36" i="4"/>
  <c r="F35" i="4"/>
  <c r="E35" i="4"/>
  <c r="D35" i="4"/>
  <c r="G35" i="4" s="1"/>
  <c r="H35" i="4" s="1"/>
  <c r="C35" i="4"/>
  <c r="B35" i="4"/>
  <c r="F34" i="4"/>
  <c r="E34" i="4"/>
  <c r="D34" i="4"/>
  <c r="G34" i="4" s="1"/>
  <c r="H34" i="4" s="1"/>
  <c r="C34" i="4"/>
  <c r="B34" i="4"/>
  <c r="F33" i="4"/>
  <c r="E33" i="4"/>
  <c r="D33" i="4"/>
  <c r="G33" i="4" s="1"/>
  <c r="H33" i="4" s="1"/>
  <c r="C33" i="4"/>
  <c r="B33" i="4"/>
  <c r="F32" i="4"/>
  <c r="E32" i="4"/>
  <c r="D32" i="4"/>
  <c r="G32" i="4" s="1"/>
  <c r="H32" i="4" s="1"/>
  <c r="C32" i="4"/>
  <c r="B32" i="4"/>
  <c r="F31" i="4"/>
  <c r="E31" i="4"/>
  <c r="D31" i="4"/>
  <c r="G31" i="4" s="1"/>
  <c r="H31" i="4" s="1"/>
  <c r="C31" i="4"/>
  <c r="B31" i="4"/>
  <c r="H30" i="4"/>
  <c r="G30" i="4"/>
  <c r="F30" i="4"/>
  <c r="E30" i="4"/>
  <c r="D30" i="4"/>
  <c r="C30" i="4"/>
  <c r="B30" i="4"/>
  <c r="G29" i="4"/>
  <c r="H29" i="4" s="1"/>
  <c r="F29" i="4"/>
  <c r="E29" i="4"/>
  <c r="D29" i="4"/>
  <c r="C29" i="4"/>
  <c r="B29" i="4"/>
  <c r="F28" i="4"/>
  <c r="E28" i="4"/>
  <c r="G28" i="4" s="1"/>
  <c r="H28" i="4" s="1"/>
  <c r="D28" i="4"/>
  <c r="C28" i="4"/>
  <c r="B28" i="4"/>
  <c r="F27" i="4"/>
  <c r="E27" i="4"/>
  <c r="D27" i="4"/>
  <c r="G27" i="4" s="1"/>
  <c r="H27" i="4" s="1"/>
  <c r="C27" i="4"/>
  <c r="B27" i="4"/>
  <c r="F26" i="4"/>
  <c r="E26" i="4"/>
  <c r="D26" i="4"/>
  <c r="G26" i="4" s="1"/>
  <c r="H26" i="4" s="1"/>
  <c r="C26" i="4"/>
  <c r="B26" i="4"/>
  <c r="F25" i="4"/>
  <c r="E25" i="4"/>
  <c r="D25" i="4"/>
  <c r="G25" i="4" s="1"/>
  <c r="H25" i="4" s="1"/>
  <c r="C25" i="4"/>
  <c r="B25" i="4"/>
  <c r="F24" i="4"/>
  <c r="E24" i="4"/>
  <c r="D24" i="4"/>
  <c r="G24" i="4" s="1"/>
  <c r="H24" i="4" s="1"/>
  <c r="C24" i="4"/>
  <c r="B24" i="4"/>
  <c r="F23" i="4"/>
  <c r="E23" i="4"/>
  <c r="D23" i="4"/>
  <c r="G23" i="4" s="1"/>
  <c r="H23" i="4" s="1"/>
  <c r="C23" i="4"/>
  <c r="B23" i="4"/>
  <c r="H22" i="4"/>
  <c r="G22" i="4"/>
  <c r="F22" i="4"/>
  <c r="E22" i="4"/>
  <c r="D22" i="4"/>
  <c r="C22" i="4"/>
  <c r="B22" i="4"/>
  <c r="G21" i="4"/>
  <c r="H21" i="4" s="1"/>
  <c r="F21" i="4"/>
  <c r="E21" i="4"/>
  <c r="D21" i="4"/>
  <c r="C21" i="4"/>
  <c r="B21" i="4"/>
  <c r="F20" i="4"/>
  <c r="E20" i="4"/>
  <c r="G20" i="4" s="1"/>
  <c r="H20" i="4" s="1"/>
  <c r="D20" i="4"/>
  <c r="C20" i="4"/>
  <c r="B20" i="4"/>
  <c r="F19" i="4"/>
  <c r="E19" i="4"/>
  <c r="D19" i="4"/>
  <c r="G19" i="4" s="1"/>
  <c r="H19" i="4" s="1"/>
  <c r="C19" i="4"/>
  <c r="B19" i="4"/>
  <c r="F18" i="4"/>
  <c r="E18" i="4"/>
  <c r="D18" i="4"/>
  <c r="G18" i="4" s="1"/>
  <c r="H18" i="4" s="1"/>
  <c r="C18" i="4"/>
  <c r="B18" i="4"/>
  <c r="F17" i="4"/>
  <c r="E17" i="4"/>
  <c r="D17" i="4"/>
  <c r="G17" i="4" s="1"/>
  <c r="H17" i="4" s="1"/>
  <c r="C17" i="4"/>
  <c r="B17" i="4"/>
  <c r="F16" i="4"/>
  <c r="E16" i="4"/>
  <c r="D16" i="4"/>
  <c r="G16" i="4" s="1"/>
  <c r="H16" i="4" s="1"/>
  <c r="C16" i="4"/>
  <c r="B16" i="4"/>
  <c r="F15" i="4"/>
  <c r="E15" i="4"/>
  <c r="D15" i="4"/>
  <c r="G15" i="4" s="1"/>
  <c r="H15" i="4" s="1"/>
  <c r="C15" i="4"/>
  <c r="B15" i="4"/>
  <c r="G14" i="4"/>
  <c r="H14" i="4" s="1"/>
  <c r="F14" i="4"/>
  <c r="E14" i="4"/>
  <c r="D14" i="4"/>
  <c r="C14" i="4"/>
  <c r="B14" i="4"/>
  <c r="F13" i="4"/>
  <c r="G13" i="4" s="1"/>
  <c r="H13" i="4" s="1"/>
  <c r="E13" i="4"/>
  <c r="D13" i="4"/>
  <c r="C13" i="4"/>
  <c r="B13" i="4"/>
  <c r="B12" i="4"/>
  <c r="C3" i="3"/>
  <c r="C33" i="3" s="1"/>
  <c r="Q34" i="2"/>
  <c r="P34" i="2"/>
  <c r="O34" i="2"/>
  <c r="N34" i="2"/>
  <c r="M34" i="2"/>
  <c r="L34" i="2"/>
  <c r="J34" i="2"/>
  <c r="I34" i="2"/>
  <c r="G34" i="2"/>
  <c r="F34" i="2"/>
  <c r="E34" i="2"/>
  <c r="D34" i="2"/>
  <c r="C34" i="2"/>
  <c r="Q4" i="2"/>
  <c r="F3" i="3" s="1"/>
  <c r="K4" i="2"/>
  <c r="E3" i="3" s="1"/>
  <c r="I33" i="3" s="1"/>
  <c r="H4" i="2"/>
  <c r="H34" i="2" s="1"/>
  <c r="E4" i="2"/>
  <c r="H3" i="3" l="1"/>
  <c r="E12" i="4" s="1"/>
  <c r="E42" i="4" s="1"/>
  <c r="C12" i="4"/>
  <c r="F33" i="3"/>
  <c r="A4" i="5" s="1"/>
  <c r="K33" i="3"/>
  <c r="C9" i="5" s="1"/>
  <c r="B45" i="4"/>
  <c r="B46" i="4" s="1"/>
  <c r="B47" i="4" s="1"/>
  <c r="L3" i="3"/>
  <c r="L33" i="3" s="1"/>
  <c r="J33" i="3"/>
  <c r="A9" i="5" s="1"/>
  <c r="J3" i="3"/>
  <c r="K3" i="3"/>
  <c r="I3" i="3"/>
  <c r="F12" i="4" s="1"/>
  <c r="F42" i="4" s="1"/>
  <c r="H33" i="3"/>
  <c r="E4" i="5" s="1"/>
  <c r="K34" i="2"/>
  <c r="D3" i="3"/>
  <c r="G33" i="3" l="1"/>
  <c r="C4" i="5" s="1"/>
  <c r="D33" i="3"/>
  <c r="G3" i="3"/>
  <c r="D12" i="4" s="1"/>
  <c r="C42" i="4"/>
  <c r="G12" i="4" l="1"/>
  <c r="D42" i="4"/>
  <c r="H12" i="4" l="1"/>
  <c r="H42" i="4" s="1"/>
  <c r="G42" i="4"/>
  <c r="E9" i="5" s="1"/>
</calcChain>
</file>

<file path=xl/sharedStrings.xml><?xml version="1.0" encoding="utf-8"?>
<sst xmlns="http://schemas.openxmlformats.org/spreadsheetml/2006/main" count="66" uniqueCount="56">
  <si>
    <t xml:space="preserve">350 TPD </t>
  </si>
  <si>
    <t>COAL QUALITY</t>
  </si>
  <si>
    <t>PRODUCTION OUTPUT (MT)</t>
  </si>
  <si>
    <t>S.No</t>
  </si>
  <si>
    <t>Date</t>
  </si>
  <si>
    <t>SAIL</t>
  </si>
  <si>
    <t>Mix Fines
MT</t>
  </si>
  <si>
    <t>Total Iron
Feed MT</t>
  </si>
  <si>
    <t>Coal
MT</t>
  </si>
  <si>
    <t>Coal
Others MT</t>
  </si>
  <si>
    <t>Total Coal
MT</t>
  </si>
  <si>
    <t>Dolomite MT</t>
  </si>
  <si>
    <t>Total Dolomite MT</t>
  </si>
  <si>
    <t>Avg FC
%</t>
  </si>
  <si>
    <t>Moisture
%</t>
  </si>
  <si>
    <t>KMD</t>
  </si>
  <si>
    <t>A Grade
MT</t>
  </si>
  <si>
    <t>B Grade
MT</t>
  </si>
  <si>
    <t>Total Prod
MT</t>
  </si>
  <si>
    <t>FL</t>
  </si>
  <si>
    <t>NIL</t>
  </si>
  <si>
    <t>MONTHLY TOTAL / AVG</t>
  </si>
  <si>
    <t>-</t>
  </si>
  <si>
    <t>350 TPD</t>
  </si>
  <si>
    <t>Coal
Specific
Consumption
(MT/MT)</t>
  </si>
  <si>
    <t>Pellet
Specific
Consumption
(MT/MT)</t>
  </si>
  <si>
    <t>Dolo
Specific
Consumption
(MT/MT)</t>
  </si>
  <si>
    <t>Yield
Ratio %</t>
  </si>
  <si>
    <t>A Grade
%</t>
  </si>
  <si>
    <t>B Grade
%</t>
  </si>
  <si>
    <t>MONTHLY AVG</t>
  </si>
  <si>
    <t>COST IMPACT ANALYSIS — Raw Material Price Sensitivity on Production Cost</t>
  </si>
  <si>
    <t>Coal Price (₹/MT)</t>
  </si>
  <si>
    <t>Pellet Price (₹/MT)</t>
  </si>
  <si>
    <t>Dolomite Price (₹/MT)</t>
  </si>
  <si>
    <t>Target Margin/MT (₹)</t>
  </si>
  <si>
    <t>Selling Price/MT (₹)</t>
  </si>
  <si>
    <t>DAILY PRODUCTION COST BREAKDOWN (Linked from KPI Sheet)</t>
  </si>
  <si>
    <t>Total
Prod MT</t>
  </si>
  <si>
    <t>Coal
Cost/MT (₹)</t>
  </si>
  <si>
    <t>Pellet
Cost/MT (₹)</t>
  </si>
  <si>
    <t>Dolo
Cost/MT (₹)</t>
  </si>
  <si>
    <t>Total RM
Cost/MT (₹)</t>
  </si>
  <si>
    <t>Contribution
Margin/MT (₹)</t>
  </si>
  <si>
    <t>Coal price assumption (₹/MT)</t>
  </si>
  <si>
    <t>Avg daily production (MT)</t>
  </si>
  <si>
    <t>Cost impact of +0.1 coal ratio (₹/day)</t>
  </si>
  <si>
    <t>Cost impact of +0.1 coal ratio (₹/month)</t>
  </si>
  <si>
    <t>Margin compression per MT (₹)</t>
  </si>
  <si>
    <t>MONTHLY KPI 350 TPD</t>
  </si>
  <si>
    <t>Total Production (MT)</t>
  </si>
  <si>
    <t>Avg Coal Specific Consumption</t>
  </si>
  <si>
    <t>Avg Pellet Specific Consumption</t>
  </si>
  <si>
    <t>Avg Yield Ratio %</t>
  </si>
  <si>
    <t>Avg A Grade %</t>
  </si>
  <si>
    <t>Total RM Cost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</si>
</sst>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/d/yyyy"/>
    <numFmt numFmtId="165" formatCode="0.000"/>
    <numFmt numFmtId="166" formatCode="0.0%"/>
    <numFmt numFmtId="167" formatCode="\₹#,##0;&quot;(₹&quot;#,##0\);\-"/>
    <numFmt numFmtId="168" formatCode="\₹#,##0"/>
  </numFmts>
  <fonts count="2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0"/>
      <color rgb="FF000000"/>
      <name val="Arial"/>
      <charset val="1"/>
    </font>
    <font>
      <b/>
      <sz val="13"/>
      <color rgb="FFFFFFFF"/>
      <name val="Arial"/>
      <family val="2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theme="0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FF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name val="Arial"/>
      <charset val="1"/>
    </font>
    <font>
      <sz val="10"/>
      <color rgb="FF008000"/>
      <name val="Arial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b/>
      <sz val="10"/>
      <color rgb="FF008000"/>
      <name val="Arial"/>
      <charset val="1"/>
    </font>
    <font>
      <sz val="10"/>
      <name val="Arial"/>
      <charset val="1"/>
    </font>
    <font>
      <b/>
      <sz val="10"/>
      <color rgb="FFC55A11"/>
      <name val="Arial"/>
      <charset val="1"/>
    </font>
    <font>
      <b/>
      <sz val="18"/>
      <color rgb="FF1F3864"/>
      <name val="Arial"/>
      <charset val="1"/>
    </font>
    <font>
      <b/>
      <sz val="18"/>
      <color rgb="FF2E75B6"/>
      <name val="Arial"/>
      <charset val="1"/>
    </font>
    <font>
      <b/>
      <sz val="18"/>
      <color rgb="FF2E86C1"/>
      <name val="Arial"/>
      <charset val="1"/>
    </font>
    <font>
      <b/>
      <sz val="18"/>
      <color rgb="FF117A65"/>
      <name val="Arial"/>
      <charset val="1"/>
    </font>
    <font>
      <b/>
      <sz val="18"/>
      <color rgb="FF1E8449"/>
      <name val="Arial"/>
      <charset val="1"/>
    </font>
    <font>
      <b/>
      <sz val="18"/>
      <color rgb="FF7D6608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2E86C1"/>
      </patternFill>
    </fill>
    <fill>
      <patternFill patternType="solid">
        <fgColor rgb="FFFFFFFF"/>
        <bgColor rgb="FFEBF3FB"/>
      </patternFill>
    </fill>
    <fill>
      <patternFill patternType="solid">
        <fgColor rgb="FFD9D9D9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F2CC"/>
        <bgColor rgb="FFEBF3FB"/>
      </patternFill>
    </fill>
    <fill>
      <patternFill patternType="solid">
        <fgColor rgb="FF2E86C1"/>
        <bgColor rgb="FF2E75B6"/>
      </patternFill>
    </fill>
    <fill>
      <patternFill patternType="solid">
        <fgColor rgb="FF117A65"/>
        <bgColor rgb="FF1E8449"/>
      </patternFill>
    </fill>
    <fill>
      <patternFill patternType="solid">
        <fgColor rgb="FF1E8449"/>
        <bgColor rgb="FF117A65"/>
      </patternFill>
    </fill>
    <fill>
      <patternFill patternType="solid">
        <fgColor rgb="FF7D6608"/>
        <bgColor rgb="FFC55A11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5" fillId="11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2" fontId="21" fillId="0" borderId="3" xfId="0" applyNumberFormat="1" applyFont="1" applyBorder="1" applyAlignment="1">
      <alignment horizontal="center" vertical="center" wrapText="1"/>
    </xf>
    <xf numFmtId="2" fontId="20" fillId="0" borderId="3" xfId="0" applyNumberFormat="1" applyFont="1" applyBorder="1" applyAlignment="1">
      <alignment horizontal="center" vertical="center" wrapText="1"/>
    </xf>
    <xf numFmtId="4" fontId="19" fillId="0" borderId="3" xfId="0" applyNumberFormat="1" applyFont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10" fontId="9" fillId="4" borderId="1" xfId="0" applyNumberFormat="1" applyFont="1" applyFill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center" vertical="center" wrapText="1"/>
    </xf>
    <xf numFmtId="4" fontId="9" fillId="4" borderId="1" xfId="0" applyNumberFormat="1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10" fontId="12" fillId="5" borderId="1" xfId="0" applyNumberFormat="1" applyFont="1" applyFill="1" applyBorder="1" applyAlignment="1">
      <alignment horizontal="center" vertical="center" wrapText="1"/>
    </xf>
    <xf numFmtId="4" fontId="12" fillId="5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64" fontId="13" fillId="4" borderId="1" xfId="0" applyNumberFormat="1" applyFont="1" applyFill="1" applyBorder="1" applyAlignment="1">
      <alignment horizontal="center" vertical="center" wrapText="1"/>
    </xf>
    <xf numFmtId="4" fontId="13" fillId="4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4" fontId="13" fillId="6" borderId="1" xfId="0" applyNumberFormat="1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166" fontId="2" fillId="6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center" vertical="center" wrapText="1"/>
    </xf>
    <xf numFmtId="166" fontId="14" fillId="0" borderId="1" xfId="0" applyNumberFormat="1" applyFont="1" applyBorder="1" applyAlignment="1">
      <alignment horizontal="center" vertical="center" wrapText="1"/>
    </xf>
    <xf numFmtId="0" fontId="15" fillId="0" borderId="0" xfId="0" applyFont="1"/>
    <xf numFmtId="166" fontId="12" fillId="5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/>
    <xf numFmtId="167" fontId="10" fillId="7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 wrapText="1"/>
    </xf>
    <xf numFmtId="168" fontId="2" fillId="4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13" fillId="6" borderId="1" xfId="0" applyNumberFormat="1" applyFont="1" applyFill="1" applyBorder="1" applyAlignment="1">
      <alignment horizontal="center" vertical="center" wrapText="1"/>
    </xf>
    <xf numFmtId="168" fontId="2" fillId="6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4" fontId="16" fillId="0" borderId="1" xfId="0" applyNumberFormat="1" applyFont="1" applyBorder="1" applyAlignment="1">
      <alignment horizontal="center" vertical="center" wrapText="1"/>
    </xf>
    <xf numFmtId="168" fontId="11" fillId="0" borderId="1" xfId="0" applyNumberFormat="1" applyFont="1" applyBorder="1" applyAlignment="1">
      <alignment horizontal="center" vertical="center" wrapText="1"/>
    </xf>
    <xf numFmtId="168" fontId="12" fillId="5" borderId="1" xfId="0" applyNumberFormat="1" applyFont="1" applyFill="1" applyBorder="1" applyAlignment="1">
      <alignment horizontal="center" vertical="center" wrapText="1"/>
    </xf>
    <xf numFmtId="167" fontId="12" fillId="5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/>
    <xf numFmtId="168" fontId="18" fillId="0" borderId="1" xfId="0" applyNumberFormat="1" applyFont="1" applyBorder="1" applyAlignment="1">
      <alignment horizontal="right" vertical="center"/>
    </xf>
    <xf numFmtId="4" fontId="18" fillId="0" borderId="1" xfId="0" applyNumberFormat="1" applyFont="1" applyBorder="1" applyAlignment="1">
      <alignment horizontal="right" vertical="center"/>
    </xf>
    <xf numFmtId="166" fontId="22" fillId="0" borderId="3" xfId="0" applyNumberFormat="1" applyFont="1" applyBorder="1" applyAlignment="1">
      <alignment horizontal="center" vertical="center" wrapText="1"/>
    </xf>
    <xf numFmtId="166" fontId="23" fillId="0" borderId="3" xfId="0" applyNumberFormat="1" applyFont="1" applyBorder="1" applyAlignment="1">
      <alignment horizontal="center" vertical="center" wrapText="1"/>
    </xf>
    <xf numFmtId="168" fontId="24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117A65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2E86C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showGridLines="0" zoomScaleNormal="100" workbookViewId="0">
      <pane ySplit="2" topLeftCell="A3" activePane="bottomLeft" state="frozen"/>
      <selection activeCell="L1" sqref="L1"/>
      <selection pane="bottomLeft" activeCell="S4" sqref="S4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4" width="10" customWidth="1"/>
    <col min="5" max="5" width="11" customWidth="1"/>
    <col min="6" max="6" width="10" customWidth="1"/>
    <col min="7" max="11" width="11" customWidth="1"/>
    <col min="12" max="12" width="8" customWidth="1"/>
    <col min="13" max="13" width="9" customWidth="1"/>
    <col min="14" max="14" width="7" customWidth="1"/>
    <col min="15" max="16" width="10" customWidth="1"/>
    <col min="17" max="17" width="11" customWidth="1"/>
    <col min="18" max="18" width="7" customWidth="1"/>
  </cols>
  <sheetData>
    <row r="1" spans="1:18" ht="27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8" customHeight="1" x14ac:dyDescent="0.25">
      <c r="A2" s="15"/>
      <c r="B2" s="15"/>
      <c r="C2" s="15"/>
      <c r="D2" s="15"/>
      <c r="E2" s="15"/>
      <c r="F2" s="15"/>
      <c r="G2" s="15"/>
      <c r="H2" s="13" t="s">
        <v>1</v>
      </c>
      <c r="I2" s="13"/>
      <c r="J2" s="13"/>
      <c r="K2" s="13"/>
      <c r="L2" s="13"/>
      <c r="M2" s="13"/>
      <c r="N2" s="15"/>
      <c r="O2" s="13" t="s">
        <v>2</v>
      </c>
      <c r="P2" s="13"/>
      <c r="Q2" s="13"/>
      <c r="R2" s="15"/>
    </row>
    <row r="3" spans="1:18" ht="39.75" customHeight="1" x14ac:dyDescent="0.25">
      <c r="A3" s="16" t="s">
        <v>3</v>
      </c>
      <c r="B3" s="17" t="s">
        <v>4</v>
      </c>
      <c r="C3" s="18" t="s">
        <v>5</v>
      </c>
      <c r="D3" s="16" t="s">
        <v>6</v>
      </c>
      <c r="E3" s="16" t="s">
        <v>7</v>
      </c>
      <c r="F3" s="19" t="s">
        <v>8</v>
      </c>
      <c r="G3" s="16" t="s">
        <v>9</v>
      </c>
      <c r="H3" s="16" t="s">
        <v>10</v>
      </c>
      <c r="I3" s="16" t="s">
        <v>11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  <c r="O3" s="16" t="s">
        <v>16</v>
      </c>
      <c r="P3" s="16" t="s">
        <v>17</v>
      </c>
      <c r="Q3" s="16" t="s">
        <v>18</v>
      </c>
      <c r="R3" s="16" t="s">
        <v>19</v>
      </c>
    </row>
    <row r="4" spans="1:18" x14ac:dyDescent="0.25">
      <c r="A4" s="20">
        <v>1</v>
      </c>
      <c r="B4" s="21">
        <v>46169</v>
      </c>
      <c r="C4" s="22">
        <v>500</v>
      </c>
      <c r="D4" s="22">
        <v>0</v>
      </c>
      <c r="E4" s="23">
        <f>C4+D4</f>
        <v>500</v>
      </c>
      <c r="F4" s="22">
        <v>576</v>
      </c>
      <c r="G4" s="22">
        <v>24</v>
      </c>
      <c r="H4" s="23">
        <f>F4+G4</f>
        <v>600</v>
      </c>
      <c r="I4" s="23">
        <v>40</v>
      </c>
      <c r="J4" s="23">
        <v>0</v>
      </c>
      <c r="K4" s="23">
        <f>+I4+J4</f>
        <v>40</v>
      </c>
      <c r="L4" s="24">
        <v>0.57999999999999996</v>
      </c>
      <c r="M4" s="24">
        <v>0.11</v>
      </c>
      <c r="N4" s="25">
        <v>2.4500000000000002</v>
      </c>
      <c r="O4" s="26">
        <v>458</v>
      </c>
      <c r="P4" s="26">
        <v>22</v>
      </c>
      <c r="Q4" s="27">
        <f>O4+P4</f>
        <v>480</v>
      </c>
      <c r="R4" s="20" t="s">
        <v>20</v>
      </c>
    </row>
    <row r="5" spans="1:18" x14ac:dyDescent="0.25">
      <c r="A5" s="20"/>
      <c r="B5" s="21"/>
      <c r="C5" s="22"/>
      <c r="D5" s="22"/>
      <c r="E5" s="23"/>
      <c r="F5" s="22"/>
      <c r="G5" s="22"/>
      <c r="H5" s="23"/>
      <c r="I5" s="23"/>
      <c r="J5" s="23"/>
      <c r="K5" s="23"/>
      <c r="L5" s="24"/>
      <c r="M5" s="24"/>
      <c r="N5" s="25"/>
      <c r="O5" s="26"/>
      <c r="P5" s="26"/>
      <c r="Q5" s="27"/>
      <c r="R5" s="20"/>
    </row>
    <row r="6" spans="1:18" x14ac:dyDescent="0.25">
      <c r="A6" s="28"/>
      <c r="B6" s="28"/>
      <c r="C6" s="22"/>
      <c r="D6" s="22"/>
      <c r="E6" s="23"/>
      <c r="F6" s="22"/>
      <c r="G6" s="22"/>
      <c r="H6" s="23"/>
      <c r="I6" s="23"/>
      <c r="J6" s="23"/>
      <c r="K6" s="23"/>
      <c r="L6" s="29"/>
      <c r="M6" s="29"/>
      <c r="N6" s="30"/>
      <c r="O6" s="22"/>
      <c r="P6" s="22"/>
      <c r="Q6" s="23"/>
      <c r="R6" s="28"/>
    </row>
    <row r="7" spans="1:18" x14ac:dyDescent="0.25">
      <c r="A7" s="28"/>
      <c r="B7" s="28"/>
      <c r="C7" s="22"/>
      <c r="D7" s="22"/>
      <c r="E7" s="23"/>
      <c r="F7" s="22"/>
      <c r="G7" s="22"/>
      <c r="H7" s="23"/>
      <c r="I7" s="23"/>
      <c r="J7" s="23"/>
      <c r="K7" s="23"/>
      <c r="L7" s="29"/>
      <c r="M7" s="29"/>
      <c r="N7" s="30"/>
      <c r="O7" s="22"/>
      <c r="P7" s="22"/>
      <c r="Q7" s="23"/>
      <c r="R7" s="28"/>
    </row>
    <row r="8" spans="1:18" x14ac:dyDescent="0.25">
      <c r="A8" s="28"/>
      <c r="B8" s="28"/>
      <c r="C8" s="22"/>
      <c r="D8" s="22"/>
      <c r="E8" s="23"/>
      <c r="F8" s="22"/>
      <c r="G8" s="22"/>
      <c r="H8" s="23"/>
      <c r="I8" s="23"/>
      <c r="J8" s="23"/>
      <c r="K8" s="23"/>
      <c r="L8" s="29"/>
      <c r="M8" s="29"/>
      <c r="N8" s="30"/>
      <c r="O8" s="22"/>
      <c r="P8" s="22"/>
      <c r="Q8" s="23"/>
      <c r="R8" s="28"/>
    </row>
    <row r="9" spans="1:18" x14ac:dyDescent="0.25">
      <c r="A9" s="28"/>
      <c r="B9" s="28"/>
      <c r="C9" s="22"/>
      <c r="D9" s="22"/>
      <c r="E9" s="23"/>
      <c r="F9" s="22"/>
      <c r="G9" s="22"/>
      <c r="H9" s="23"/>
      <c r="I9" s="23"/>
      <c r="J9" s="23"/>
      <c r="K9" s="23"/>
      <c r="L9" s="29"/>
      <c r="M9" s="29"/>
      <c r="N9" s="30"/>
      <c r="O9" s="22"/>
      <c r="P9" s="22"/>
      <c r="Q9" s="23"/>
      <c r="R9" s="28"/>
    </row>
    <row r="10" spans="1:18" x14ac:dyDescent="0.25">
      <c r="A10" s="28"/>
      <c r="B10" s="28"/>
      <c r="C10" s="22"/>
      <c r="D10" s="22"/>
      <c r="E10" s="23"/>
      <c r="F10" s="22"/>
      <c r="G10" s="22"/>
      <c r="H10" s="23"/>
      <c r="I10" s="23"/>
      <c r="J10" s="23"/>
      <c r="K10" s="23"/>
      <c r="L10" s="29"/>
      <c r="M10" s="29"/>
      <c r="N10" s="30"/>
      <c r="O10" s="22"/>
      <c r="P10" s="22"/>
      <c r="Q10" s="23"/>
      <c r="R10" s="28"/>
    </row>
    <row r="11" spans="1:18" x14ac:dyDescent="0.25">
      <c r="A11" s="28"/>
      <c r="B11" s="28"/>
      <c r="C11" s="22"/>
      <c r="D11" s="22"/>
      <c r="E11" s="23"/>
      <c r="F11" s="22"/>
      <c r="G11" s="22"/>
      <c r="H11" s="23"/>
      <c r="I11" s="23"/>
      <c r="J11" s="23"/>
      <c r="K11" s="23"/>
      <c r="L11" s="29"/>
      <c r="M11" s="29"/>
      <c r="N11" s="30"/>
      <c r="O11" s="22"/>
      <c r="P11" s="22"/>
      <c r="Q11" s="23"/>
      <c r="R11" s="28"/>
    </row>
    <row r="12" spans="1:18" x14ac:dyDescent="0.25">
      <c r="A12" s="28"/>
      <c r="B12" s="28"/>
      <c r="C12" s="22"/>
      <c r="D12" s="22"/>
      <c r="E12" s="23"/>
      <c r="F12" s="22"/>
      <c r="G12" s="22"/>
      <c r="H12" s="23"/>
      <c r="I12" s="23"/>
      <c r="J12" s="23"/>
      <c r="K12" s="23"/>
      <c r="L12" s="29"/>
      <c r="M12" s="29"/>
      <c r="N12" s="30"/>
      <c r="O12" s="22"/>
      <c r="P12" s="22"/>
      <c r="Q12" s="23"/>
      <c r="R12" s="28"/>
    </row>
    <row r="13" spans="1:18" x14ac:dyDescent="0.25">
      <c r="A13" s="28"/>
      <c r="B13" s="28"/>
      <c r="C13" s="22"/>
      <c r="D13" s="22"/>
      <c r="E13" s="23"/>
      <c r="F13" s="22"/>
      <c r="G13" s="22"/>
      <c r="H13" s="23"/>
      <c r="I13" s="23"/>
      <c r="J13" s="23"/>
      <c r="K13" s="23"/>
      <c r="L13" s="29"/>
      <c r="M13" s="29"/>
      <c r="N13" s="30"/>
      <c r="O13" s="22"/>
      <c r="P13" s="22"/>
      <c r="Q13" s="23"/>
      <c r="R13" s="28"/>
    </row>
    <row r="14" spans="1:18" x14ac:dyDescent="0.25">
      <c r="A14" s="28"/>
      <c r="B14" s="28"/>
      <c r="C14" s="22"/>
      <c r="D14" s="22"/>
      <c r="E14" s="23"/>
      <c r="F14" s="22"/>
      <c r="G14" s="22"/>
      <c r="H14" s="23"/>
      <c r="I14" s="23"/>
      <c r="J14" s="23"/>
      <c r="K14" s="23"/>
      <c r="L14" s="29"/>
      <c r="M14" s="29"/>
      <c r="N14" s="30"/>
      <c r="O14" s="22"/>
      <c r="P14" s="22"/>
      <c r="Q14" s="23"/>
      <c r="R14" s="28"/>
    </row>
    <row r="15" spans="1:18" x14ac:dyDescent="0.25">
      <c r="A15" s="28"/>
      <c r="B15" s="28"/>
      <c r="C15" s="22"/>
      <c r="D15" s="22"/>
      <c r="E15" s="23"/>
      <c r="F15" s="22"/>
      <c r="G15" s="22"/>
      <c r="H15" s="23"/>
      <c r="I15" s="23"/>
      <c r="J15" s="23"/>
      <c r="K15" s="23"/>
      <c r="L15" s="29"/>
      <c r="M15" s="29"/>
      <c r="N15" s="30"/>
      <c r="O15" s="22"/>
      <c r="P15" s="22"/>
      <c r="Q15" s="23"/>
      <c r="R15" s="28"/>
    </row>
    <row r="16" spans="1:18" x14ac:dyDescent="0.25">
      <c r="A16" s="28"/>
      <c r="B16" s="28"/>
      <c r="C16" s="22"/>
      <c r="D16" s="22"/>
      <c r="E16" s="23"/>
      <c r="F16" s="22"/>
      <c r="G16" s="22"/>
      <c r="H16" s="23"/>
      <c r="I16" s="23"/>
      <c r="J16" s="23"/>
      <c r="K16" s="23"/>
      <c r="L16" s="29"/>
      <c r="M16" s="29"/>
      <c r="N16" s="30"/>
      <c r="O16" s="22"/>
      <c r="P16" s="22"/>
      <c r="Q16" s="23"/>
      <c r="R16" s="28"/>
    </row>
    <row r="17" spans="1:18" x14ac:dyDescent="0.25">
      <c r="A17" s="28"/>
      <c r="B17" s="28"/>
      <c r="C17" s="22"/>
      <c r="D17" s="22"/>
      <c r="E17" s="23"/>
      <c r="F17" s="22"/>
      <c r="G17" s="22"/>
      <c r="H17" s="23"/>
      <c r="I17" s="23"/>
      <c r="J17" s="23"/>
      <c r="K17" s="23"/>
      <c r="L17" s="29"/>
      <c r="M17" s="29"/>
      <c r="N17" s="30"/>
      <c r="O17" s="22"/>
      <c r="P17" s="22"/>
      <c r="Q17" s="23"/>
      <c r="R17" s="28"/>
    </row>
    <row r="18" spans="1:18" x14ac:dyDescent="0.25">
      <c r="A18" s="28"/>
      <c r="B18" s="28"/>
      <c r="C18" s="22"/>
      <c r="D18" s="22"/>
      <c r="E18" s="23"/>
      <c r="F18" s="22"/>
      <c r="G18" s="22"/>
      <c r="H18" s="23"/>
      <c r="I18" s="23"/>
      <c r="J18" s="23"/>
      <c r="K18" s="23"/>
      <c r="L18" s="29"/>
      <c r="M18" s="29"/>
      <c r="N18" s="30"/>
      <c r="O18" s="22"/>
      <c r="P18" s="22"/>
      <c r="Q18" s="23"/>
      <c r="R18" s="28"/>
    </row>
    <row r="19" spans="1:18" x14ac:dyDescent="0.25">
      <c r="A19" s="28"/>
      <c r="B19" s="28"/>
      <c r="C19" s="22"/>
      <c r="D19" s="22"/>
      <c r="E19" s="23"/>
      <c r="F19" s="22"/>
      <c r="G19" s="22"/>
      <c r="H19" s="23"/>
      <c r="I19" s="23"/>
      <c r="J19" s="23"/>
      <c r="K19" s="23"/>
      <c r="L19" s="29"/>
      <c r="M19" s="29"/>
      <c r="N19" s="30"/>
      <c r="O19" s="22"/>
      <c r="P19" s="22"/>
      <c r="Q19" s="23"/>
      <c r="R19" s="28"/>
    </row>
    <row r="20" spans="1:18" x14ac:dyDescent="0.25">
      <c r="A20" s="28"/>
      <c r="B20" s="28"/>
      <c r="C20" s="22"/>
      <c r="D20" s="22"/>
      <c r="E20" s="23"/>
      <c r="F20" s="22"/>
      <c r="G20" s="22"/>
      <c r="H20" s="23"/>
      <c r="I20" s="23"/>
      <c r="J20" s="23"/>
      <c r="K20" s="23"/>
      <c r="L20" s="29"/>
      <c r="M20" s="29"/>
      <c r="N20" s="30"/>
      <c r="O20" s="22"/>
      <c r="P20" s="22"/>
      <c r="Q20" s="23"/>
      <c r="R20" s="28"/>
    </row>
    <row r="21" spans="1:18" x14ac:dyDescent="0.25">
      <c r="A21" s="28"/>
      <c r="B21" s="28"/>
      <c r="C21" s="22"/>
      <c r="D21" s="22"/>
      <c r="E21" s="23"/>
      <c r="F21" s="22"/>
      <c r="G21" s="22"/>
      <c r="H21" s="23"/>
      <c r="I21" s="23"/>
      <c r="J21" s="23"/>
      <c r="K21" s="23"/>
      <c r="L21" s="29"/>
      <c r="M21" s="29"/>
      <c r="N21" s="30"/>
      <c r="O21" s="22"/>
      <c r="P21" s="22"/>
      <c r="Q21" s="23"/>
      <c r="R21" s="28"/>
    </row>
    <row r="22" spans="1:18" x14ac:dyDescent="0.25">
      <c r="A22" s="28"/>
      <c r="B22" s="28"/>
      <c r="C22" s="22"/>
      <c r="D22" s="22"/>
      <c r="E22" s="23"/>
      <c r="F22" s="22"/>
      <c r="G22" s="22"/>
      <c r="H22" s="23"/>
      <c r="I22" s="23"/>
      <c r="J22" s="23"/>
      <c r="K22" s="23"/>
      <c r="L22" s="29"/>
      <c r="M22" s="29"/>
      <c r="N22" s="30"/>
      <c r="O22" s="22"/>
      <c r="P22" s="22"/>
      <c r="Q22" s="23"/>
      <c r="R22" s="28"/>
    </row>
    <row r="23" spans="1:18" x14ac:dyDescent="0.25">
      <c r="A23" s="28"/>
      <c r="B23" s="28"/>
      <c r="C23" s="22"/>
      <c r="D23" s="22"/>
      <c r="E23" s="23"/>
      <c r="F23" s="22"/>
      <c r="G23" s="22"/>
      <c r="H23" s="23"/>
      <c r="I23" s="23"/>
      <c r="J23" s="23"/>
      <c r="K23" s="23"/>
      <c r="L23" s="29"/>
      <c r="M23" s="29"/>
      <c r="N23" s="30"/>
      <c r="O23" s="22"/>
      <c r="P23" s="22"/>
      <c r="Q23" s="23"/>
      <c r="R23" s="28"/>
    </row>
    <row r="24" spans="1:18" x14ac:dyDescent="0.25">
      <c r="A24" s="28"/>
      <c r="B24" s="28"/>
      <c r="C24" s="22"/>
      <c r="D24" s="22"/>
      <c r="E24" s="23"/>
      <c r="F24" s="22"/>
      <c r="G24" s="22"/>
      <c r="H24" s="23"/>
      <c r="I24" s="23"/>
      <c r="J24" s="23"/>
      <c r="K24" s="23"/>
      <c r="L24" s="29"/>
      <c r="M24" s="29"/>
      <c r="N24" s="30"/>
      <c r="O24" s="22"/>
      <c r="P24" s="22"/>
      <c r="Q24" s="23"/>
      <c r="R24" s="28"/>
    </row>
    <row r="25" spans="1:18" x14ac:dyDescent="0.25">
      <c r="A25" s="28"/>
      <c r="B25" s="28"/>
      <c r="C25" s="22"/>
      <c r="D25" s="22"/>
      <c r="E25" s="23"/>
      <c r="F25" s="22"/>
      <c r="G25" s="22"/>
      <c r="H25" s="23"/>
      <c r="I25" s="23"/>
      <c r="J25" s="23"/>
      <c r="K25" s="23"/>
      <c r="L25" s="29"/>
      <c r="M25" s="29"/>
      <c r="N25" s="30"/>
      <c r="O25" s="22"/>
      <c r="P25" s="22"/>
      <c r="Q25" s="23"/>
      <c r="R25" s="28"/>
    </row>
    <row r="26" spans="1:18" x14ac:dyDescent="0.25">
      <c r="A26" s="28"/>
      <c r="B26" s="28"/>
      <c r="C26" s="22"/>
      <c r="D26" s="22"/>
      <c r="E26" s="23"/>
      <c r="F26" s="22"/>
      <c r="G26" s="22"/>
      <c r="H26" s="23"/>
      <c r="I26" s="23"/>
      <c r="J26" s="23"/>
      <c r="K26" s="23"/>
      <c r="L26" s="29"/>
      <c r="M26" s="29"/>
      <c r="N26" s="30"/>
      <c r="O26" s="22"/>
      <c r="P26" s="22"/>
      <c r="Q26" s="23"/>
      <c r="R26" s="28"/>
    </row>
    <row r="27" spans="1:18" x14ac:dyDescent="0.25">
      <c r="A27" s="28"/>
      <c r="B27" s="28"/>
      <c r="C27" s="22"/>
      <c r="D27" s="22"/>
      <c r="E27" s="23"/>
      <c r="F27" s="22"/>
      <c r="G27" s="22"/>
      <c r="H27" s="23"/>
      <c r="I27" s="23"/>
      <c r="J27" s="23"/>
      <c r="K27" s="23"/>
      <c r="L27" s="29"/>
      <c r="M27" s="29"/>
      <c r="N27" s="30"/>
      <c r="O27" s="22"/>
      <c r="P27" s="22"/>
      <c r="Q27" s="23"/>
      <c r="R27" s="28"/>
    </row>
    <row r="28" spans="1:18" x14ac:dyDescent="0.25">
      <c r="A28" s="31"/>
      <c r="B28" s="31"/>
      <c r="C28" s="32"/>
      <c r="D28" s="32"/>
      <c r="E28" s="33"/>
      <c r="F28" s="32"/>
      <c r="G28" s="32"/>
      <c r="H28" s="33"/>
      <c r="I28" s="33"/>
      <c r="J28" s="33"/>
      <c r="K28" s="33"/>
      <c r="L28" s="34"/>
      <c r="M28" s="34"/>
      <c r="N28" s="35"/>
      <c r="O28" s="32"/>
      <c r="P28" s="32"/>
      <c r="Q28" s="33"/>
      <c r="R28" s="31"/>
    </row>
    <row r="29" spans="1:18" x14ac:dyDescent="0.25">
      <c r="A29" s="28"/>
      <c r="B29" s="28"/>
      <c r="C29" s="22"/>
      <c r="D29" s="22"/>
      <c r="E29" s="23"/>
      <c r="F29" s="22"/>
      <c r="G29" s="22"/>
      <c r="H29" s="23"/>
      <c r="I29" s="23"/>
      <c r="J29" s="23"/>
      <c r="K29" s="23"/>
      <c r="L29" s="29"/>
      <c r="M29" s="29"/>
      <c r="N29" s="30"/>
      <c r="O29" s="22"/>
      <c r="P29" s="22"/>
      <c r="Q29" s="23"/>
      <c r="R29" s="28"/>
    </row>
    <row r="30" spans="1:18" x14ac:dyDescent="0.25">
      <c r="A30" s="28"/>
      <c r="B30" s="28"/>
      <c r="C30" s="22"/>
      <c r="D30" s="22"/>
      <c r="E30" s="23"/>
      <c r="F30" s="22"/>
      <c r="G30" s="22"/>
      <c r="H30" s="23"/>
      <c r="I30" s="23"/>
      <c r="J30" s="23"/>
      <c r="K30" s="23"/>
      <c r="L30" s="29"/>
      <c r="M30" s="29"/>
      <c r="N30" s="30"/>
      <c r="O30" s="22"/>
      <c r="P30" s="22"/>
      <c r="Q30" s="23"/>
      <c r="R30" s="28"/>
    </row>
    <row r="31" spans="1:18" x14ac:dyDescent="0.25">
      <c r="A31" s="28"/>
      <c r="B31" s="28"/>
      <c r="C31" s="22"/>
      <c r="D31" s="22"/>
      <c r="E31" s="23"/>
      <c r="F31" s="22"/>
      <c r="G31" s="22"/>
      <c r="H31" s="23"/>
      <c r="I31" s="23"/>
      <c r="J31" s="23"/>
      <c r="K31" s="23"/>
      <c r="L31" s="29"/>
      <c r="M31" s="29"/>
      <c r="N31" s="30"/>
      <c r="O31" s="22"/>
      <c r="P31" s="22"/>
      <c r="Q31" s="23"/>
      <c r="R31" s="28"/>
    </row>
    <row r="32" spans="1:18" x14ac:dyDescent="0.25">
      <c r="A32" s="28"/>
      <c r="B32" s="28"/>
      <c r="C32" s="22"/>
      <c r="D32" s="22"/>
      <c r="E32" s="23"/>
      <c r="F32" s="22"/>
      <c r="G32" s="22"/>
      <c r="H32" s="23"/>
      <c r="I32" s="23"/>
      <c r="J32" s="23"/>
      <c r="K32" s="23"/>
      <c r="L32" s="29"/>
      <c r="M32" s="29"/>
      <c r="N32" s="30"/>
      <c r="O32" s="22"/>
      <c r="P32" s="22"/>
      <c r="Q32" s="23"/>
      <c r="R32" s="28"/>
    </row>
    <row r="33" spans="1:18" x14ac:dyDescent="0.25">
      <c r="A33" s="28"/>
      <c r="B33" s="28"/>
      <c r="C33" s="22"/>
      <c r="D33" s="22"/>
      <c r="E33" s="23"/>
      <c r="F33" s="22"/>
      <c r="G33" s="22"/>
      <c r="H33" s="23"/>
      <c r="I33" s="23"/>
      <c r="J33" s="23"/>
      <c r="K33" s="23"/>
      <c r="L33" s="29"/>
      <c r="M33" s="29"/>
      <c r="N33" s="30"/>
      <c r="O33" s="22"/>
      <c r="P33" s="22"/>
      <c r="Q33" s="23"/>
      <c r="R33" s="28"/>
    </row>
    <row r="34" spans="1:18" ht="37.5" customHeight="1" x14ac:dyDescent="0.25">
      <c r="A34" s="12" t="s">
        <v>21</v>
      </c>
      <c r="B34" s="12"/>
      <c r="C34" s="36">
        <f t="shared" ref="C34:K34" si="0">SUM(C4:C33)</f>
        <v>500</v>
      </c>
      <c r="D34" s="36">
        <f t="shared" si="0"/>
        <v>0</v>
      </c>
      <c r="E34" s="36">
        <f t="shared" si="0"/>
        <v>500</v>
      </c>
      <c r="F34" s="36">
        <f t="shared" si="0"/>
        <v>576</v>
      </c>
      <c r="G34" s="36">
        <f t="shared" si="0"/>
        <v>24</v>
      </c>
      <c r="H34" s="36">
        <f t="shared" si="0"/>
        <v>600</v>
      </c>
      <c r="I34" s="36">
        <f t="shared" si="0"/>
        <v>40</v>
      </c>
      <c r="J34" s="36">
        <f t="shared" si="0"/>
        <v>0</v>
      </c>
      <c r="K34" s="36">
        <f t="shared" si="0"/>
        <v>40</v>
      </c>
      <c r="L34" s="37">
        <f>AVERAGE(L4:L33)</f>
        <v>0.57999999999999996</v>
      </c>
      <c r="M34" s="37">
        <f>AVERAGE(M4:M33)</f>
        <v>0.11</v>
      </c>
      <c r="N34" s="37">
        <f>AVERAGE(N4:N33)</f>
        <v>2.4500000000000002</v>
      </c>
      <c r="O34" s="38">
        <f>SUM(O4:O33)</f>
        <v>458</v>
      </c>
      <c r="P34" s="38">
        <f>SUM(P4:P33)</f>
        <v>22</v>
      </c>
      <c r="Q34" s="38">
        <f>SUM(Q4:Q33)</f>
        <v>480</v>
      </c>
      <c r="R34" s="39" t="s">
        <v>22</v>
      </c>
    </row>
  </sheetData>
  <mergeCells count="4">
    <mergeCell ref="A1:R1"/>
    <mergeCell ref="H2:M2"/>
    <mergeCell ref="O2:Q2"/>
    <mergeCell ref="A34:B3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showGridLines="0" zoomScaleNormal="100" workbookViewId="0">
      <pane ySplit="1" topLeftCell="A11" activePane="bottomLeft" state="frozen"/>
      <selection pane="bottomLeft" activeCell="I3" sqref="I3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6" width="11" customWidth="1"/>
    <col min="7" max="9" width="13" customWidth="1"/>
    <col min="10" max="10" width="11" customWidth="1"/>
    <col min="11" max="12" width="10" customWidth="1"/>
  </cols>
  <sheetData>
    <row r="1" spans="1:12" ht="27.75" customHeight="1" x14ac:dyDescent="0.25">
      <c r="A1" s="14" t="s">
        <v>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51.75" customHeight="1" x14ac:dyDescent="0.25">
      <c r="A2" s="16" t="s">
        <v>3</v>
      </c>
      <c r="B2" s="16" t="s">
        <v>4</v>
      </c>
      <c r="C2" s="16" t="s">
        <v>7</v>
      </c>
      <c r="D2" s="16" t="s">
        <v>10</v>
      </c>
      <c r="E2" s="19" t="s">
        <v>12</v>
      </c>
      <c r="F2" s="16" t="s">
        <v>18</v>
      </c>
      <c r="G2" s="16" t="s">
        <v>24</v>
      </c>
      <c r="H2" s="16" t="s">
        <v>25</v>
      </c>
      <c r="I2" s="16" t="s">
        <v>26</v>
      </c>
      <c r="J2" s="16" t="s">
        <v>27</v>
      </c>
      <c r="K2" s="16" t="s">
        <v>28</v>
      </c>
      <c r="L2" s="16" t="s">
        <v>29</v>
      </c>
    </row>
    <row r="3" spans="1:12" x14ac:dyDescent="0.25">
      <c r="A3" s="40">
        <v>1</v>
      </c>
      <c r="B3" s="41">
        <v>46169</v>
      </c>
      <c r="C3" s="42">
        <f>'Raw Data'!E4</f>
        <v>500</v>
      </c>
      <c r="D3" s="42">
        <f>'Raw Data'!H4</f>
        <v>600</v>
      </c>
      <c r="E3" s="42">
        <f>'Raw Data'!K4</f>
        <v>40</v>
      </c>
      <c r="F3" s="42">
        <f>'Raw Data'!Q4</f>
        <v>480</v>
      </c>
      <c r="G3" s="43">
        <f>IF(F3&gt;0,D3/F3,0)</f>
        <v>1.25</v>
      </c>
      <c r="H3" s="43">
        <f>IF(F3&gt;0,C3/F3,0)</f>
        <v>1.0416666666666667</v>
      </c>
      <c r="I3" s="44">
        <f>IF(F3&gt;0,E3/F3,0)</f>
        <v>8.3333333333333329E-2</v>
      </c>
      <c r="J3" s="45">
        <f>IF(C3&gt;0,F3/C3,0)</f>
        <v>0.96</v>
      </c>
      <c r="K3" s="45">
        <f>IF(F3&gt;0,'Raw Data'!O4/F3,0)</f>
        <v>0.95416666666666672</v>
      </c>
      <c r="L3" s="45">
        <f>IF(F3&gt;0,'Raw Data'!P4/F3,0)</f>
        <v>4.583333333333333E-2</v>
      </c>
    </row>
    <row r="4" spans="1:12" x14ac:dyDescent="0.25">
      <c r="A4" s="46"/>
      <c r="B4" s="46"/>
      <c r="C4" s="47"/>
      <c r="D4" s="47"/>
      <c r="E4" s="47"/>
      <c r="F4" s="47"/>
      <c r="G4" s="48"/>
      <c r="H4" s="48"/>
      <c r="I4" s="49"/>
      <c r="J4" s="50"/>
      <c r="K4" s="50"/>
      <c r="L4" s="50"/>
    </row>
    <row r="5" spans="1:12" x14ac:dyDescent="0.25">
      <c r="A5" s="40"/>
      <c r="B5" s="40"/>
      <c r="C5" s="42"/>
      <c r="D5" s="42"/>
      <c r="E5" s="42"/>
      <c r="F5" s="42"/>
      <c r="G5" s="43"/>
      <c r="H5" s="43"/>
      <c r="I5" s="44"/>
      <c r="J5" s="45"/>
      <c r="K5" s="45"/>
      <c r="L5" s="45"/>
    </row>
    <row r="6" spans="1:12" x14ac:dyDescent="0.25">
      <c r="A6" s="46"/>
      <c r="B6" s="46"/>
      <c r="C6" s="47"/>
      <c r="D6" s="47"/>
      <c r="E6" s="47"/>
      <c r="F6" s="47"/>
      <c r="G6" s="48"/>
      <c r="H6" s="48"/>
      <c r="I6" s="49"/>
      <c r="J6" s="50"/>
      <c r="K6" s="50"/>
      <c r="L6" s="50"/>
    </row>
    <row r="7" spans="1:12" x14ac:dyDescent="0.25">
      <c r="A7" s="40"/>
      <c r="B7" s="40"/>
      <c r="C7" s="42"/>
      <c r="D7" s="42"/>
      <c r="E7" s="42"/>
      <c r="F7" s="42"/>
      <c r="G7" s="43"/>
      <c r="H7" s="43"/>
      <c r="I7" s="44"/>
      <c r="J7" s="45"/>
      <c r="K7" s="45"/>
      <c r="L7" s="45"/>
    </row>
    <row r="8" spans="1:12" x14ac:dyDescent="0.25">
      <c r="A8" s="46"/>
      <c r="B8" s="46"/>
      <c r="C8" s="47"/>
      <c r="D8" s="47"/>
      <c r="E8" s="47"/>
      <c r="F8" s="47"/>
      <c r="G8" s="48"/>
      <c r="H8" s="48"/>
      <c r="I8" s="49"/>
      <c r="J8" s="50"/>
      <c r="K8" s="50"/>
      <c r="L8" s="50"/>
    </row>
    <row r="9" spans="1:12" x14ac:dyDescent="0.25">
      <c r="A9" s="40"/>
      <c r="B9" s="40"/>
      <c r="C9" s="42"/>
      <c r="D9" s="42"/>
      <c r="E9" s="42"/>
      <c r="F9" s="42"/>
      <c r="G9" s="43"/>
      <c r="H9" s="43"/>
      <c r="I9" s="44"/>
      <c r="J9" s="45"/>
      <c r="K9" s="45"/>
      <c r="L9" s="45"/>
    </row>
    <row r="10" spans="1:12" x14ac:dyDescent="0.25">
      <c r="A10" s="46"/>
      <c r="B10" s="46"/>
      <c r="C10" s="47"/>
      <c r="D10" s="47"/>
      <c r="E10" s="47"/>
      <c r="F10" s="47"/>
      <c r="G10" s="48"/>
      <c r="H10" s="48"/>
      <c r="I10" s="49"/>
      <c r="J10" s="50"/>
      <c r="K10" s="50"/>
      <c r="L10" s="50"/>
    </row>
    <row r="11" spans="1:12" x14ac:dyDescent="0.25">
      <c r="A11" s="40"/>
      <c r="B11" s="40"/>
      <c r="C11" s="42"/>
      <c r="D11" s="42"/>
      <c r="E11" s="42"/>
      <c r="F11" s="42"/>
      <c r="G11" s="43"/>
      <c r="H11" s="43"/>
      <c r="I11" s="44"/>
      <c r="J11" s="45"/>
      <c r="K11" s="45"/>
      <c r="L11" s="45"/>
    </row>
    <row r="12" spans="1:12" x14ac:dyDescent="0.25">
      <c r="A12" s="46"/>
      <c r="B12" s="46"/>
      <c r="C12" s="47"/>
      <c r="D12" s="47"/>
      <c r="E12" s="47"/>
      <c r="F12" s="47"/>
      <c r="G12" s="48"/>
      <c r="H12" s="48"/>
      <c r="I12" s="49"/>
      <c r="J12" s="50"/>
      <c r="K12" s="50"/>
      <c r="L12" s="50"/>
    </row>
    <row r="13" spans="1:12" x14ac:dyDescent="0.25">
      <c r="A13" s="40"/>
      <c r="B13" s="40"/>
      <c r="C13" s="42"/>
      <c r="D13" s="42"/>
      <c r="E13" s="42"/>
      <c r="F13" s="42"/>
      <c r="G13" s="43"/>
      <c r="H13" s="43"/>
      <c r="I13" s="44"/>
      <c r="J13" s="45"/>
      <c r="K13" s="45"/>
      <c r="L13" s="45"/>
    </row>
    <row r="14" spans="1:12" x14ac:dyDescent="0.25">
      <c r="A14" s="46"/>
      <c r="B14" s="46"/>
      <c r="C14" s="47"/>
      <c r="D14" s="47"/>
      <c r="E14" s="47"/>
      <c r="F14" s="47"/>
      <c r="G14" s="48"/>
      <c r="H14" s="48"/>
      <c r="I14" s="49"/>
      <c r="J14" s="50"/>
      <c r="K14" s="50"/>
      <c r="L14" s="50"/>
    </row>
    <row r="15" spans="1:12" x14ac:dyDescent="0.25">
      <c r="A15" s="40"/>
      <c r="B15" s="40"/>
      <c r="C15" s="42"/>
      <c r="D15" s="42"/>
      <c r="E15" s="42"/>
      <c r="F15" s="42"/>
      <c r="G15" s="43"/>
      <c r="H15" s="43"/>
      <c r="I15" s="44"/>
      <c r="J15" s="45"/>
      <c r="K15" s="45"/>
      <c r="L15" s="45"/>
    </row>
    <row r="16" spans="1:12" x14ac:dyDescent="0.25">
      <c r="A16" s="46"/>
      <c r="B16" s="46"/>
      <c r="C16" s="47"/>
      <c r="D16" s="47"/>
      <c r="E16" s="47"/>
      <c r="F16" s="47"/>
      <c r="G16" s="48"/>
      <c r="H16" s="48"/>
      <c r="I16" s="49"/>
      <c r="J16" s="50"/>
      <c r="K16" s="50"/>
      <c r="L16" s="50"/>
    </row>
    <row r="17" spans="1:12" x14ac:dyDescent="0.25">
      <c r="A17" s="40"/>
      <c r="B17" s="40"/>
      <c r="C17" s="42"/>
      <c r="D17" s="42"/>
      <c r="E17" s="42"/>
      <c r="F17" s="42"/>
      <c r="G17" s="43"/>
      <c r="H17" s="43"/>
      <c r="I17" s="44"/>
      <c r="J17" s="45"/>
      <c r="K17" s="45"/>
      <c r="L17" s="45"/>
    </row>
    <row r="18" spans="1:12" x14ac:dyDescent="0.25">
      <c r="A18" s="46"/>
      <c r="B18" s="46"/>
      <c r="C18" s="47"/>
      <c r="D18" s="47"/>
      <c r="E18" s="47"/>
      <c r="F18" s="47"/>
      <c r="G18" s="48"/>
      <c r="H18" s="48"/>
      <c r="I18" s="49"/>
      <c r="J18" s="50"/>
      <c r="K18" s="50"/>
      <c r="L18" s="50"/>
    </row>
    <row r="19" spans="1:12" x14ac:dyDescent="0.25">
      <c r="A19" s="40"/>
      <c r="B19" s="40"/>
      <c r="C19" s="42"/>
      <c r="D19" s="42"/>
      <c r="E19" s="42"/>
      <c r="F19" s="42"/>
      <c r="G19" s="43"/>
      <c r="H19" s="43"/>
      <c r="I19" s="44"/>
      <c r="J19" s="45"/>
      <c r="K19" s="45"/>
      <c r="L19" s="45"/>
    </row>
    <row r="20" spans="1:12" x14ac:dyDescent="0.25">
      <c r="A20" s="46"/>
      <c r="B20" s="46"/>
      <c r="C20" s="47"/>
      <c r="D20" s="47"/>
      <c r="E20" s="47"/>
      <c r="F20" s="47"/>
      <c r="G20" s="48"/>
      <c r="H20" s="48"/>
      <c r="I20" s="49"/>
      <c r="J20" s="50"/>
      <c r="K20" s="50"/>
      <c r="L20" s="50"/>
    </row>
    <row r="21" spans="1:12" x14ac:dyDescent="0.25">
      <c r="A21" s="40"/>
      <c r="B21" s="40"/>
      <c r="C21" s="42"/>
      <c r="D21" s="42"/>
      <c r="E21" s="42"/>
      <c r="F21" s="42"/>
      <c r="G21" s="43"/>
      <c r="H21" s="43"/>
      <c r="I21" s="44"/>
      <c r="J21" s="45"/>
      <c r="K21" s="45"/>
      <c r="L21" s="45"/>
    </row>
    <row r="22" spans="1:12" x14ac:dyDescent="0.25">
      <c r="A22" s="46"/>
      <c r="B22" s="46"/>
      <c r="C22" s="47"/>
      <c r="D22" s="47"/>
      <c r="E22" s="47"/>
      <c r="F22" s="47"/>
      <c r="G22" s="48"/>
      <c r="H22" s="48"/>
      <c r="I22" s="49"/>
      <c r="J22" s="50"/>
      <c r="K22" s="50"/>
      <c r="L22" s="50"/>
    </row>
    <row r="23" spans="1:12" x14ac:dyDescent="0.25">
      <c r="A23" s="40"/>
      <c r="B23" s="40"/>
      <c r="C23" s="42"/>
      <c r="D23" s="42"/>
      <c r="E23" s="42"/>
      <c r="F23" s="42"/>
      <c r="G23" s="43"/>
      <c r="H23" s="43"/>
      <c r="I23" s="44"/>
      <c r="J23" s="45"/>
      <c r="K23" s="45"/>
      <c r="L23" s="45"/>
    </row>
    <row r="24" spans="1:12" x14ac:dyDescent="0.25">
      <c r="A24" s="46"/>
      <c r="B24" s="46"/>
      <c r="C24" s="47"/>
      <c r="D24" s="47"/>
      <c r="E24" s="47"/>
      <c r="F24" s="47"/>
      <c r="G24" s="48"/>
      <c r="H24" s="48"/>
      <c r="I24" s="49"/>
      <c r="J24" s="50"/>
      <c r="K24" s="50"/>
      <c r="L24" s="50"/>
    </row>
    <row r="25" spans="1:12" x14ac:dyDescent="0.25">
      <c r="A25" s="40"/>
      <c r="B25" s="40"/>
      <c r="C25" s="42"/>
      <c r="D25" s="42"/>
      <c r="E25" s="42"/>
      <c r="F25" s="42"/>
      <c r="G25" s="43"/>
      <c r="H25" s="43"/>
      <c r="I25" s="44"/>
      <c r="J25" s="45"/>
      <c r="K25" s="45"/>
      <c r="L25" s="45"/>
    </row>
    <row r="26" spans="1:12" x14ac:dyDescent="0.25">
      <c r="A26" s="46"/>
      <c r="B26" s="46"/>
      <c r="C26" s="47"/>
      <c r="D26" s="47"/>
      <c r="E26" s="47"/>
      <c r="F26" s="47"/>
      <c r="G26" s="48"/>
      <c r="H26" s="48"/>
      <c r="I26" s="49"/>
      <c r="J26" s="50"/>
      <c r="K26" s="50"/>
      <c r="L26" s="50"/>
    </row>
    <row r="27" spans="1:12" s="56" customFormat="1" x14ac:dyDescent="0.25">
      <c r="A27" s="51"/>
      <c r="B27" s="51"/>
      <c r="C27" s="52"/>
      <c r="D27" s="52"/>
      <c r="E27" s="52"/>
      <c r="F27" s="52"/>
      <c r="G27" s="53"/>
      <c r="H27" s="53"/>
      <c r="I27" s="54"/>
      <c r="J27" s="55"/>
      <c r="K27" s="55"/>
      <c r="L27" s="55"/>
    </row>
    <row r="28" spans="1:12" x14ac:dyDescent="0.25">
      <c r="A28" s="46"/>
      <c r="B28" s="46"/>
      <c r="C28" s="47"/>
      <c r="D28" s="47"/>
      <c r="E28" s="47"/>
      <c r="F28" s="47"/>
      <c r="G28" s="48"/>
      <c r="H28" s="48"/>
      <c r="I28" s="49"/>
      <c r="J28" s="50"/>
      <c r="K28" s="50"/>
      <c r="L28" s="50"/>
    </row>
    <row r="29" spans="1:12" x14ac:dyDescent="0.25">
      <c r="A29" s="40"/>
      <c r="B29" s="40"/>
      <c r="C29" s="42"/>
      <c r="D29" s="42"/>
      <c r="E29" s="42"/>
      <c r="F29" s="42"/>
      <c r="G29" s="43"/>
      <c r="H29" s="43"/>
      <c r="I29" s="44"/>
      <c r="J29" s="45"/>
      <c r="K29" s="45"/>
      <c r="L29" s="45"/>
    </row>
    <row r="30" spans="1:12" x14ac:dyDescent="0.25">
      <c r="A30" s="46"/>
      <c r="B30" s="46"/>
      <c r="C30" s="47"/>
      <c r="D30" s="47"/>
      <c r="E30" s="47"/>
      <c r="F30" s="47"/>
      <c r="G30" s="48"/>
      <c r="H30" s="48"/>
      <c r="I30" s="49"/>
      <c r="J30" s="50"/>
      <c r="K30" s="50"/>
      <c r="L30" s="50"/>
    </row>
    <row r="31" spans="1:12" x14ac:dyDescent="0.25">
      <c r="A31" s="40"/>
      <c r="B31" s="40"/>
      <c r="C31" s="42"/>
      <c r="D31" s="42"/>
      <c r="E31" s="42"/>
      <c r="F31" s="42"/>
      <c r="G31" s="43"/>
      <c r="H31" s="43"/>
      <c r="I31" s="44"/>
      <c r="J31" s="45"/>
      <c r="K31" s="45"/>
      <c r="L31" s="45"/>
    </row>
    <row r="32" spans="1:12" x14ac:dyDescent="0.25">
      <c r="A32" s="46"/>
      <c r="B32" s="46"/>
      <c r="C32" s="47"/>
      <c r="D32" s="47"/>
      <c r="E32" s="47"/>
      <c r="F32" s="47"/>
      <c r="G32" s="48"/>
      <c r="H32" s="48"/>
      <c r="I32" s="49"/>
      <c r="J32" s="50"/>
      <c r="K32" s="50"/>
      <c r="L32" s="50"/>
    </row>
    <row r="33" spans="1:12" ht="15" customHeight="1" x14ac:dyDescent="0.25">
      <c r="A33" s="12" t="s">
        <v>30</v>
      </c>
      <c r="B33" s="12"/>
      <c r="C33" s="38">
        <f>SUM(C3:C32)</f>
        <v>500</v>
      </c>
      <c r="D33" s="38">
        <f>SUM(D3:D32)</f>
        <v>600</v>
      </c>
      <c r="E33" s="38"/>
      <c r="F33" s="38">
        <f>SUM(F3:F32)</f>
        <v>480</v>
      </c>
      <c r="G33" s="38">
        <f>IFERROR(SUM(D3:D32)/SUM(F3:F32),0)</f>
        <v>1.25</v>
      </c>
      <c r="H33" s="38">
        <f>IFERROR(SUM(C3:C32)/SUM(F3:F32),0)</f>
        <v>1.0416666666666667</v>
      </c>
      <c r="I33" s="38">
        <f>IFERROR(SUM(E3:E32)/SUM(F3:F32),0)</f>
        <v>8.3333333333333329E-2</v>
      </c>
      <c r="J33" s="37">
        <f>IFERROR(SUM(F3:F32)/SUM(C3:C32),0)</f>
        <v>0.96</v>
      </c>
      <c r="K33" s="37">
        <f>IFERROR(SUMPRODUCT((F3:F32&gt;0)*'Raw Data'!O4:O33)/SUM(F3:F32),0)</f>
        <v>0.95416666666666672</v>
      </c>
      <c r="L33" s="57">
        <f>AVERAGE(L3:L32)</f>
        <v>4.583333333333333E-2</v>
      </c>
    </row>
  </sheetData>
  <mergeCells count="2">
    <mergeCell ref="A1:L1"/>
    <mergeCell ref="A33:B3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showGridLines="0" topLeftCell="A22" zoomScaleNormal="100" workbookViewId="0">
      <selection activeCell="I3" sqref="I3"/>
    </sheetView>
  </sheetViews>
  <sheetFormatPr defaultColWidth="8.7109375" defaultRowHeight="15" x14ac:dyDescent="0.25"/>
  <cols>
    <col min="1" max="1" width="34.7109375" customWidth="1"/>
    <col min="2" max="2" width="13" customWidth="1"/>
    <col min="3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27.75" customHeight="1" x14ac:dyDescent="0.25">
      <c r="A1" s="11" t="s">
        <v>31</v>
      </c>
      <c r="B1" s="11"/>
      <c r="C1" s="11"/>
      <c r="D1" s="11"/>
      <c r="E1" s="11"/>
      <c r="F1" s="11"/>
      <c r="G1" s="11"/>
      <c r="H1" s="11"/>
    </row>
    <row r="3" spans="1:8" x14ac:dyDescent="0.25">
      <c r="A3" s="58" t="s">
        <v>32</v>
      </c>
      <c r="B3" s="59">
        <v>9800</v>
      </c>
    </row>
    <row r="4" spans="1:8" x14ac:dyDescent="0.25">
      <c r="A4" s="58" t="s">
        <v>33</v>
      </c>
      <c r="B4" s="59">
        <v>11500</v>
      </c>
    </row>
    <row r="5" spans="1:8" x14ac:dyDescent="0.25">
      <c r="A5" s="58" t="s">
        <v>34</v>
      </c>
      <c r="B5" s="59">
        <v>3200</v>
      </c>
    </row>
    <row r="6" spans="1:8" x14ac:dyDescent="0.25">
      <c r="A6" s="58" t="s">
        <v>35</v>
      </c>
      <c r="B6" s="59">
        <v>4500</v>
      </c>
    </row>
    <row r="7" spans="1:8" x14ac:dyDescent="0.25">
      <c r="A7" s="58" t="s">
        <v>36</v>
      </c>
      <c r="B7" s="59">
        <v>34000</v>
      </c>
    </row>
    <row r="10" spans="1:8" ht="19.5" customHeight="1" x14ac:dyDescent="0.25">
      <c r="A10" s="10" t="s">
        <v>37</v>
      </c>
      <c r="B10" s="10"/>
      <c r="C10" s="10"/>
      <c r="D10" s="10"/>
      <c r="E10" s="10"/>
      <c r="F10" s="10"/>
      <c r="G10" s="10"/>
      <c r="H10" s="10"/>
    </row>
    <row r="11" spans="1:8" ht="39.75" customHeight="1" x14ac:dyDescent="0.25">
      <c r="A11" s="16" t="s">
        <v>3</v>
      </c>
      <c r="B11" s="16" t="s">
        <v>4</v>
      </c>
      <c r="C11" s="16" t="s">
        <v>38</v>
      </c>
      <c r="D11" s="16" t="s">
        <v>39</v>
      </c>
      <c r="E11" s="16" t="s">
        <v>40</v>
      </c>
      <c r="F11" s="16" t="s">
        <v>41</v>
      </c>
      <c r="G11" s="16" t="s">
        <v>42</v>
      </c>
      <c r="H11" s="16" t="s">
        <v>43</v>
      </c>
    </row>
    <row r="12" spans="1:8" x14ac:dyDescent="0.25">
      <c r="A12" s="60">
        <v>1</v>
      </c>
      <c r="B12" s="41">
        <f>'KPI Calculations'!B3</f>
        <v>46169</v>
      </c>
      <c r="C12" s="42">
        <f>'KPI Calculations'!F3</f>
        <v>480</v>
      </c>
      <c r="D12" s="61">
        <f>'KPI Calculations'!G3*$B$3</f>
        <v>12250</v>
      </c>
      <c r="E12" s="61">
        <f>'KPI Calculations'!H3*$B$4</f>
        <v>11979.166666666668</v>
      </c>
      <c r="F12" s="61">
        <f>'KPI Calculations'!I3*$B$5</f>
        <v>266.66666666666663</v>
      </c>
      <c r="G12" s="61">
        <f t="shared" ref="G12:G41" si="0">D12+E12+F12</f>
        <v>24495.833333333336</v>
      </c>
      <c r="H12" s="61">
        <f t="shared" ref="H12:H41" si="1">$B$7-G12</f>
        <v>9504.1666666666642</v>
      </c>
    </row>
    <row r="13" spans="1:8" x14ac:dyDescent="0.25">
      <c r="A13" s="62">
        <v>2</v>
      </c>
      <c r="B13" s="63">
        <f>'KPI Calculations'!B4</f>
        <v>0</v>
      </c>
      <c r="C13" s="47">
        <f>'KPI Calculations'!F4</f>
        <v>0</v>
      </c>
      <c r="D13" s="64">
        <f>'KPI Calculations'!G4*$B$3</f>
        <v>0</v>
      </c>
      <c r="E13" s="64">
        <f>'KPI Calculations'!H4*$B$4</f>
        <v>0</v>
      </c>
      <c r="F13" s="64">
        <f>'KPI Calculations'!I4*$B$5</f>
        <v>0</v>
      </c>
      <c r="G13" s="64">
        <f t="shared" si="0"/>
        <v>0</v>
      </c>
      <c r="H13" s="64">
        <f t="shared" si="1"/>
        <v>34000</v>
      </c>
    </row>
    <row r="14" spans="1:8" x14ac:dyDescent="0.25">
      <c r="A14" s="60">
        <v>3</v>
      </c>
      <c r="B14" s="41">
        <f>'KPI Calculations'!B5</f>
        <v>0</v>
      </c>
      <c r="C14" s="42">
        <f>'KPI Calculations'!F5</f>
        <v>0</v>
      </c>
      <c r="D14" s="61">
        <f>'KPI Calculations'!G5*$B$3</f>
        <v>0</v>
      </c>
      <c r="E14" s="61">
        <f>'KPI Calculations'!H5*$B$4</f>
        <v>0</v>
      </c>
      <c r="F14" s="61">
        <f>'KPI Calculations'!I5*$B$5</f>
        <v>0</v>
      </c>
      <c r="G14" s="61">
        <f t="shared" si="0"/>
        <v>0</v>
      </c>
      <c r="H14" s="61">
        <f t="shared" si="1"/>
        <v>34000</v>
      </c>
    </row>
    <row r="15" spans="1:8" x14ac:dyDescent="0.25">
      <c r="A15" s="62">
        <v>4</v>
      </c>
      <c r="B15" s="63">
        <f>'KPI Calculations'!B6</f>
        <v>0</v>
      </c>
      <c r="C15" s="47">
        <f>'KPI Calculations'!F6</f>
        <v>0</v>
      </c>
      <c r="D15" s="64">
        <f>'KPI Calculations'!G6*$B$3</f>
        <v>0</v>
      </c>
      <c r="E15" s="64">
        <f>'KPI Calculations'!H6*$B$4</f>
        <v>0</v>
      </c>
      <c r="F15" s="64">
        <f>'KPI Calculations'!I6*$B$5</f>
        <v>0</v>
      </c>
      <c r="G15" s="64">
        <f t="shared" si="0"/>
        <v>0</v>
      </c>
      <c r="H15" s="64">
        <f t="shared" si="1"/>
        <v>34000</v>
      </c>
    </row>
    <row r="16" spans="1:8" x14ac:dyDescent="0.25">
      <c r="A16" s="60">
        <v>5</v>
      </c>
      <c r="B16" s="41">
        <f>'KPI Calculations'!B7</f>
        <v>0</v>
      </c>
      <c r="C16" s="42">
        <f>'KPI Calculations'!F7</f>
        <v>0</v>
      </c>
      <c r="D16" s="61">
        <f>'KPI Calculations'!G7*$B$3</f>
        <v>0</v>
      </c>
      <c r="E16" s="61">
        <f>'KPI Calculations'!H7*$B$4</f>
        <v>0</v>
      </c>
      <c r="F16" s="61">
        <f>'KPI Calculations'!I7*$B$5</f>
        <v>0</v>
      </c>
      <c r="G16" s="61">
        <f t="shared" si="0"/>
        <v>0</v>
      </c>
      <c r="H16" s="61">
        <f t="shared" si="1"/>
        <v>34000</v>
      </c>
    </row>
    <row r="17" spans="1:8" x14ac:dyDescent="0.25">
      <c r="A17" s="62">
        <v>6</v>
      </c>
      <c r="B17" s="63">
        <f>'KPI Calculations'!B8</f>
        <v>0</v>
      </c>
      <c r="C17" s="47">
        <f>'KPI Calculations'!F8</f>
        <v>0</v>
      </c>
      <c r="D17" s="64">
        <f>'KPI Calculations'!G8*$B$3</f>
        <v>0</v>
      </c>
      <c r="E17" s="64">
        <f>'KPI Calculations'!H8*$B$4</f>
        <v>0</v>
      </c>
      <c r="F17" s="64">
        <f>'KPI Calculations'!I8*$B$5</f>
        <v>0</v>
      </c>
      <c r="G17" s="64">
        <f t="shared" si="0"/>
        <v>0</v>
      </c>
      <c r="H17" s="64">
        <f t="shared" si="1"/>
        <v>34000</v>
      </c>
    </row>
    <row r="18" spans="1:8" x14ac:dyDescent="0.25">
      <c r="A18" s="60">
        <v>7</v>
      </c>
      <c r="B18" s="41">
        <f>'KPI Calculations'!B9</f>
        <v>0</v>
      </c>
      <c r="C18" s="42">
        <f>'KPI Calculations'!F9</f>
        <v>0</v>
      </c>
      <c r="D18" s="61">
        <f>'KPI Calculations'!G9*$B$3</f>
        <v>0</v>
      </c>
      <c r="E18" s="61">
        <f>'KPI Calculations'!H9*$B$4</f>
        <v>0</v>
      </c>
      <c r="F18" s="61">
        <f>'KPI Calculations'!I9*$B$5</f>
        <v>0</v>
      </c>
      <c r="G18" s="61">
        <f t="shared" si="0"/>
        <v>0</v>
      </c>
      <c r="H18" s="61">
        <f t="shared" si="1"/>
        <v>34000</v>
      </c>
    </row>
    <row r="19" spans="1:8" x14ac:dyDescent="0.25">
      <c r="A19" s="62">
        <v>8</v>
      </c>
      <c r="B19" s="63">
        <f>'KPI Calculations'!B10</f>
        <v>0</v>
      </c>
      <c r="C19" s="47">
        <f>'KPI Calculations'!F10</f>
        <v>0</v>
      </c>
      <c r="D19" s="64">
        <f>'KPI Calculations'!G10*$B$3</f>
        <v>0</v>
      </c>
      <c r="E19" s="64">
        <f>'KPI Calculations'!H10*$B$4</f>
        <v>0</v>
      </c>
      <c r="F19" s="64">
        <f>'KPI Calculations'!I10*$B$5</f>
        <v>0</v>
      </c>
      <c r="G19" s="64">
        <f t="shared" si="0"/>
        <v>0</v>
      </c>
      <c r="H19" s="64">
        <f t="shared" si="1"/>
        <v>34000</v>
      </c>
    </row>
    <row r="20" spans="1:8" x14ac:dyDescent="0.25">
      <c r="A20" s="60">
        <v>9</v>
      </c>
      <c r="B20" s="41">
        <f>'KPI Calculations'!B11</f>
        <v>0</v>
      </c>
      <c r="C20" s="42">
        <f>'KPI Calculations'!F11</f>
        <v>0</v>
      </c>
      <c r="D20" s="61">
        <f>'KPI Calculations'!G11*$B$3</f>
        <v>0</v>
      </c>
      <c r="E20" s="61">
        <f>'KPI Calculations'!H11*$B$4</f>
        <v>0</v>
      </c>
      <c r="F20" s="61">
        <f>'KPI Calculations'!I11*$B$5</f>
        <v>0</v>
      </c>
      <c r="G20" s="61">
        <f t="shared" si="0"/>
        <v>0</v>
      </c>
      <c r="H20" s="61">
        <f t="shared" si="1"/>
        <v>34000</v>
      </c>
    </row>
    <row r="21" spans="1:8" x14ac:dyDescent="0.25">
      <c r="A21" s="62">
        <v>10</v>
      </c>
      <c r="B21" s="63">
        <f>'KPI Calculations'!B12</f>
        <v>0</v>
      </c>
      <c r="C21" s="47">
        <f>'KPI Calculations'!F12</f>
        <v>0</v>
      </c>
      <c r="D21" s="64">
        <f>'KPI Calculations'!G12*$B$3</f>
        <v>0</v>
      </c>
      <c r="E21" s="64">
        <f>'KPI Calculations'!H12*$B$4</f>
        <v>0</v>
      </c>
      <c r="F21" s="64">
        <f>'KPI Calculations'!I12*$B$5</f>
        <v>0</v>
      </c>
      <c r="G21" s="64">
        <f t="shared" si="0"/>
        <v>0</v>
      </c>
      <c r="H21" s="64">
        <f t="shared" si="1"/>
        <v>34000</v>
      </c>
    </row>
    <row r="22" spans="1:8" x14ac:dyDescent="0.25">
      <c r="A22" s="60">
        <v>11</v>
      </c>
      <c r="B22" s="41">
        <f>'KPI Calculations'!B13</f>
        <v>0</v>
      </c>
      <c r="C22" s="42">
        <f>'KPI Calculations'!F13</f>
        <v>0</v>
      </c>
      <c r="D22" s="61">
        <f>'KPI Calculations'!G13*$B$3</f>
        <v>0</v>
      </c>
      <c r="E22" s="61">
        <f>'KPI Calculations'!H13*$B$4</f>
        <v>0</v>
      </c>
      <c r="F22" s="61">
        <f>'KPI Calculations'!I13*$B$5</f>
        <v>0</v>
      </c>
      <c r="G22" s="61">
        <f t="shared" si="0"/>
        <v>0</v>
      </c>
      <c r="H22" s="61">
        <f t="shared" si="1"/>
        <v>34000</v>
      </c>
    </row>
    <row r="23" spans="1:8" x14ac:dyDescent="0.25">
      <c r="A23" s="62">
        <v>12</v>
      </c>
      <c r="B23" s="63">
        <f>'KPI Calculations'!B14</f>
        <v>0</v>
      </c>
      <c r="C23" s="47">
        <f>'KPI Calculations'!F14</f>
        <v>0</v>
      </c>
      <c r="D23" s="64">
        <f>'KPI Calculations'!G14*$B$3</f>
        <v>0</v>
      </c>
      <c r="E23" s="64">
        <f>'KPI Calculations'!H14*$B$4</f>
        <v>0</v>
      </c>
      <c r="F23" s="64">
        <f>'KPI Calculations'!I14*$B$5</f>
        <v>0</v>
      </c>
      <c r="G23" s="64">
        <f t="shared" si="0"/>
        <v>0</v>
      </c>
      <c r="H23" s="64">
        <f t="shared" si="1"/>
        <v>34000</v>
      </c>
    </row>
    <row r="24" spans="1:8" x14ac:dyDescent="0.25">
      <c r="A24" s="60">
        <v>13</v>
      </c>
      <c r="B24" s="41">
        <f>'KPI Calculations'!B15</f>
        <v>0</v>
      </c>
      <c r="C24" s="42">
        <f>'KPI Calculations'!F15</f>
        <v>0</v>
      </c>
      <c r="D24" s="61">
        <f>'KPI Calculations'!G15*$B$3</f>
        <v>0</v>
      </c>
      <c r="E24" s="61">
        <f>'KPI Calculations'!H15*$B$4</f>
        <v>0</v>
      </c>
      <c r="F24" s="61">
        <f>'KPI Calculations'!I15*$B$5</f>
        <v>0</v>
      </c>
      <c r="G24" s="61">
        <f t="shared" si="0"/>
        <v>0</v>
      </c>
      <c r="H24" s="61">
        <f t="shared" si="1"/>
        <v>34000</v>
      </c>
    </row>
    <row r="25" spans="1:8" x14ac:dyDescent="0.25">
      <c r="A25" s="62">
        <v>14</v>
      </c>
      <c r="B25" s="63">
        <f>'KPI Calculations'!B16</f>
        <v>0</v>
      </c>
      <c r="C25" s="47">
        <f>'KPI Calculations'!F16</f>
        <v>0</v>
      </c>
      <c r="D25" s="64">
        <f>'KPI Calculations'!G16*$B$3</f>
        <v>0</v>
      </c>
      <c r="E25" s="64">
        <f>'KPI Calculations'!H16*$B$4</f>
        <v>0</v>
      </c>
      <c r="F25" s="64">
        <f>'KPI Calculations'!I16*$B$5</f>
        <v>0</v>
      </c>
      <c r="G25" s="64">
        <f t="shared" si="0"/>
        <v>0</v>
      </c>
      <c r="H25" s="64">
        <f t="shared" si="1"/>
        <v>34000</v>
      </c>
    </row>
    <row r="26" spans="1:8" x14ac:dyDescent="0.25">
      <c r="A26" s="60">
        <v>15</v>
      </c>
      <c r="B26" s="41">
        <f>'KPI Calculations'!B17</f>
        <v>0</v>
      </c>
      <c r="C26" s="42">
        <f>'KPI Calculations'!F17</f>
        <v>0</v>
      </c>
      <c r="D26" s="61">
        <f>'KPI Calculations'!G17*$B$3</f>
        <v>0</v>
      </c>
      <c r="E26" s="61">
        <f>'KPI Calculations'!H17*$B$4</f>
        <v>0</v>
      </c>
      <c r="F26" s="61">
        <f>'KPI Calculations'!I17*$B$5</f>
        <v>0</v>
      </c>
      <c r="G26" s="61">
        <f t="shared" si="0"/>
        <v>0</v>
      </c>
      <c r="H26" s="61">
        <f t="shared" si="1"/>
        <v>34000</v>
      </c>
    </row>
    <row r="27" spans="1:8" x14ac:dyDescent="0.25">
      <c r="A27" s="62">
        <v>16</v>
      </c>
      <c r="B27" s="63">
        <f>'KPI Calculations'!B18</f>
        <v>0</v>
      </c>
      <c r="C27" s="47">
        <f>'KPI Calculations'!F18</f>
        <v>0</v>
      </c>
      <c r="D27" s="64">
        <f>'KPI Calculations'!G18*$B$3</f>
        <v>0</v>
      </c>
      <c r="E27" s="64">
        <f>'KPI Calculations'!H18*$B$4</f>
        <v>0</v>
      </c>
      <c r="F27" s="64">
        <f>'KPI Calculations'!I18*$B$5</f>
        <v>0</v>
      </c>
      <c r="G27" s="64">
        <f t="shared" si="0"/>
        <v>0</v>
      </c>
      <c r="H27" s="64">
        <f t="shared" si="1"/>
        <v>34000</v>
      </c>
    </row>
    <row r="28" spans="1:8" x14ac:dyDescent="0.25">
      <c r="A28" s="60">
        <v>17</v>
      </c>
      <c r="B28" s="41">
        <f>'KPI Calculations'!B19</f>
        <v>0</v>
      </c>
      <c r="C28" s="42">
        <f>'KPI Calculations'!F19</f>
        <v>0</v>
      </c>
      <c r="D28" s="61">
        <f>'KPI Calculations'!G19*$B$3</f>
        <v>0</v>
      </c>
      <c r="E28" s="61">
        <f>'KPI Calculations'!H19*$B$4</f>
        <v>0</v>
      </c>
      <c r="F28" s="61">
        <f>'KPI Calculations'!I19*$B$5</f>
        <v>0</v>
      </c>
      <c r="G28" s="61">
        <f t="shared" si="0"/>
        <v>0</v>
      </c>
      <c r="H28" s="61">
        <f t="shared" si="1"/>
        <v>34000</v>
      </c>
    </row>
    <row r="29" spans="1:8" x14ac:dyDescent="0.25">
      <c r="A29" s="62">
        <v>18</v>
      </c>
      <c r="B29" s="63">
        <f>'KPI Calculations'!B20</f>
        <v>0</v>
      </c>
      <c r="C29" s="47">
        <f>'KPI Calculations'!F20</f>
        <v>0</v>
      </c>
      <c r="D29" s="64">
        <f>'KPI Calculations'!G20*$B$3</f>
        <v>0</v>
      </c>
      <c r="E29" s="64">
        <f>'KPI Calculations'!H20*$B$4</f>
        <v>0</v>
      </c>
      <c r="F29" s="64">
        <f>'KPI Calculations'!I20*$B$5</f>
        <v>0</v>
      </c>
      <c r="G29" s="64">
        <f t="shared" si="0"/>
        <v>0</v>
      </c>
      <c r="H29" s="64">
        <f t="shared" si="1"/>
        <v>34000</v>
      </c>
    </row>
    <row r="30" spans="1:8" x14ac:dyDescent="0.25">
      <c r="A30" s="60">
        <v>19</v>
      </c>
      <c r="B30" s="41">
        <f>'KPI Calculations'!B21</f>
        <v>0</v>
      </c>
      <c r="C30" s="42">
        <f>'KPI Calculations'!F21</f>
        <v>0</v>
      </c>
      <c r="D30" s="61">
        <f>'KPI Calculations'!G21*$B$3</f>
        <v>0</v>
      </c>
      <c r="E30" s="61">
        <f>'KPI Calculations'!H21*$B$4</f>
        <v>0</v>
      </c>
      <c r="F30" s="61">
        <f>'KPI Calculations'!I21*$B$5</f>
        <v>0</v>
      </c>
      <c r="G30" s="61">
        <f t="shared" si="0"/>
        <v>0</v>
      </c>
      <c r="H30" s="61">
        <f t="shared" si="1"/>
        <v>34000</v>
      </c>
    </row>
    <row r="31" spans="1:8" x14ac:dyDescent="0.25">
      <c r="A31" s="62">
        <v>20</v>
      </c>
      <c r="B31" s="63">
        <f>'KPI Calculations'!B22</f>
        <v>0</v>
      </c>
      <c r="C31" s="47">
        <f>'KPI Calculations'!F22</f>
        <v>0</v>
      </c>
      <c r="D31" s="64">
        <f>'KPI Calculations'!G22*$B$3</f>
        <v>0</v>
      </c>
      <c r="E31" s="64">
        <f>'KPI Calculations'!H22*$B$4</f>
        <v>0</v>
      </c>
      <c r="F31" s="64">
        <f>'KPI Calculations'!I22*$B$5</f>
        <v>0</v>
      </c>
      <c r="G31" s="64">
        <f t="shared" si="0"/>
        <v>0</v>
      </c>
      <c r="H31" s="64">
        <f t="shared" si="1"/>
        <v>34000</v>
      </c>
    </row>
    <row r="32" spans="1:8" x14ac:dyDescent="0.25">
      <c r="A32" s="60">
        <v>21</v>
      </c>
      <c r="B32" s="41">
        <f>'KPI Calculations'!B23</f>
        <v>0</v>
      </c>
      <c r="C32" s="42">
        <f>'KPI Calculations'!F23</f>
        <v>0</v>
      </c>
      <c r="D32" s="61">
        <f>'KPI Calculations'!G23*$B$3</f>
        <v>0</v>
      </c>
      <c r="E32" s="61">
        <f>'KPI Calculations'!H23*$B$4</f>
        <v>0</v>
      </c>
      <c r="F32" s="61">
        <f>'KPI Calculations'!I23*$B$5</f>
        <v>0</v>
      </c>
      <c r="G32" s="61">
        <f t="shared" si="0"/>
        <v>0</v>
      </c>
      <c r="H32" s="61">
        <f t="shared" si="1"/>
        <v>34000</v>
      </c>
    </row>
    <row r="33" spans="1:8" x14ac:dyDescent="0.25">
      <c r="A33" s="62">
        <v>22</v>
      </c>
      <c r="B33" s="63">
        <f>'KPI Calculations'!B24</f>
        <v>0</v>
      </c>
      <c r="C33" s="47">
        <f>'KPI Calculations'!F24</f>
        <v>0</v>
      </c>
      <c r="D33" s="64">
        <f>'KPI Calculations'!G24*$B$3</f>
        <v>0</v>
      </c>
      <c r="E33" s="64">
        <f>'KPI Calculations'!H24*$B$4</f>
        <v>0</v>
      </c>
      <c r="F33" s="64">
        <f>'KPI Calculations'!I24*$B$5</f>
        <v>0</v>
      </c>
      <c r="G33" s="64">
        <f t="shared" si="0"/>
        <v>0</v>
      </c>
      <c r="H33" s="64">
        <f t="shared" si="1"/>
        <v>34000</v>
      </c>
    </row>
    <row r="34" spans="1:8" x14ac:dyDescent="0.25">
      <c r="A34" s="60">
        <v>23</v>
      </c>
      <c r="B34" s="41">
        <f>'KPI Calculations'!B25</f>
        <v>0</v>
      </c>
      <c r="C34" s="42">
        <f>'KPI Calculations'!F25</f>
        <v>0</v>
      </c>
      <c r="D34" s="61">
        <f>'KPI Calculations'!G25*$B$3</f>
        <v>0</v>
      </c>
      <c r="E34" s="61">
        <f>'KPI Calculations'!H25*$B$4</f>
        <v>0</v>
      </c>
      <c r="F34" s="61">
        <f>'KPI Calculations'!I25*$B$5</f>
        <v>0</v>
      </c>
      <c r="G34" s="61">
        <f t="shared" si="0"/>
        <v>0</v>
      </c>
      <c r="H34" s="61">
        <f t="shared" si="1"/>
        <v>34000</v>
      </c>
    </row>
    <row r="35" spans="1:8" x14ac:dyDescent="0.25">
      <c r="A35" s="62">
        <v>24</v>
      </c>
      <c r="B35" s="63">
        <f>'KPI Calculations'!B26</f>
        <v>0</v>
      </c>
      <c r="C35" s="47">
        <f>'KPI Calculations'!F26</f>
        <v>0</v>
      </c>
      <c r="D35" s="64">
        <f>'KPI Calculations'!G26*$B$3</f>
        <v>0</v>
      </c>
      <c r="E35" s="64">
        <f>'KPI Calculations'!H26*$B$4</f>
        <v>0</v>
      </c>
      <c r="F35" s="64">
        <f>'KPI Calculations'!I26*$B$5</f>
        <v>0</v>
      </c>
      <c r="G35" s="64">
        <f t="shared" si="0"/>
        <v>0</v>
      </c>
      <c r="H35" s="64">
        <f t="shared" si="1"/>
        <v>34000</v>
      </c>
    </row>
    <row r="36" spans="1:8" x14ac:dyDescent="0.25">
      <c r="A36" s="65">
        <v>25</v>
      </c>
      <c r="B36" s="66">
        <f>'KPI Calculations'!B27</f>
        <v>0</v>
      </c>
      <c r="C36" s="67">
        <f>'KPI Calculations'!F27</f>
        <v>0</v>
      </c>
      <c r="D36" s="68">
        <f>'KPI Calculations'!G27*$B$3</f>
        <v>0</v>
      </c>
      <c r="E36" s="68">
        <f>'KPI Calculations'!H27*$B$4</f>
        <v>0</v>
      </c>
      <c r="F36" s="68">
        <f>'KPI Calculations'!I27*$B$5</f>
        <v>0</v>
      </c>
      <c r="G36" s="68">
        <f t="shared" si="0"/>
        <v>0</v>
      </c>
      <c r="H36" s="68">
        <f t="shared" si="1"/>
        <v>34000</v>
      </c>
    </row>
    <row r="37" spans="1:8" x14ac:dyDescent="0.25">
      <c r="A37" s="62">
        <v>26</v>
      </c>
      <c r="B37" s="63">
        <f>'KPI Calculations'!B28</f>
        <v>0</v>
      </c>
      <c r="C37" s="47">
        <f>'KPI Calculations'!F28</f>
        <v>0</v>
      </c>
      <c r="D37" s="64">
        <f>'KPI Calculations'!G28*$B$3</f>
        <v>0</v>
      </c>
      <c r="E37" s="64">
        <f>'KPI Calculations'!H28*$B$4</f>
        <v>0</v>
      </c>
      <c r="F37" s="64">
        <f>'KPI Calculations'!I28*$B$5</f>
        <v>0</v>
      </c>
      <c r="G37" s="64">
        <f t="shared" si="0"/>
        <v>0</v>
      </c>
      <c r="H37" s="64">
        <f t="shared" si="1"/>
        <v>34000</v>
      </c>
    </row>
    <row r="38" spans="1:8" x14ac:dyDescent="0.25">
      <c r="A38" s="60">
        <v>27</v>
      </c>
      <c r="B38" s="41">
        <f>'KPI Calculations'!B29</f>
        <v>0</v>
      </c>
      <c r="C38" s="42">
        <f>'KPI Calculations'!F29</f>
        <v>0</v>
      </c>
      <c r="D38" s="61">
        <f>'KPI Calculations'!G29*$B$3</f>
        <v>0</v>
      </c>
      <c r="E38" s="61">
        <f>'KPI Calculations'!H29*$B$4</f>
        <v>0</v>
      </c>
      <c r="F38" s="61">
        <f>'KPI Calculations'!I29*$B$5</f>
        <v>0</v>
      </c>
      <c r="G38" s="61">
        <f t="shared" si="0"/>
        <v>0</v>
      </c>
      <c r="H38" s="61">
        <f t="shared" si="1"/>
        <v>34000</v>
      </c>
    </row>
    <row r="39" spans="1:8" x14ac:dyDescent="0.25">
      <c r="A39" s="62">
        <v>28</v>
      </c>
      <c r="B39" s="63">
        <f>'KPI Calculations'!B30</f>
        <v>0</v>
      </c>
      <c r="C39" s="47">
        <f>'KPI Calculations'!F30</f>
        <v>0</v>
      </c>
      <c r="D39" s="64">
        <f>'KPI Calculations'!G30*$B$3</f>
        <v>0</v>
      </c>
      <c r="E39" s="64">
        <f>'KPI Calculations'!H30*$B$4</f>
        <v>0</v>
      </c>
      <c r="F39" s="64">
        <f>'KPI Calculations'!I30*$B$5</f>
        <v>0</v>
      </c>
      <c r="G39" s="64">
        <f t="shared" si="0"/>
        <v>0</v>
      </c>
      <c r="H39" s="64">
        <f t="shared" si="1"/>
        <v>34000</v>
      </c>
    </row>
    <row r="40" spans="1:8" x14ac:dyDescent="0.25">
      <c r="A40" s="60">
        <v>29</v>
      </c>
      <c r="B40" s="41">
        <f>'KPI Calculations'!B31</f>
        <v>0</v>
      </c>
      <c r="C40" s="42">
        <f>'KPI Calculations'!F31</f>
        <v>0</v>
      </c>
      <c r="D40" s="61">
        <f>'KPI Calculations'!G31*$B$3</f>
        <v>0</v>
      </c>
      <c r="E40" s="61">
        <f>'KPI Calculations'!H31*$B$4</f>
        <v>0</v>
      </c>
      <c r="F40" s="61">
        <f>'KPI Calculations'!I31*$B$5</f>
        <v>0</v>
      </c>
      <c r="G40" s="61">
        <f t="shared" si="0"/>
        <v>0</v>
      </c>
      <c r="H40" s="61">
        <f t="shared" si="1"/>
        <v>34000</v>
      </c>
    </row>
    <row r="41" spans="1:8" x14ac:dyDescent="0.25">
      <c r="A41" s="62">
        <v>30</v>
      </c>
      <c r="B41" s="63">
        <f>'KPI Calculations'!B32</f>
        <v>0</v>
      </c>
      <c r="C41" s="47">
        <f>'KPI Calculations'!F32</f>
        <v>0</v>
      </c>
      <c r="D41" s="64">
        <f>'KPI Calculations'!G32*$B$3</f>
        <v>0</v>
      </c>
      <c r="E41" s="64">
        <f>'KPI Calculations'!H32*$B$4</f>
        <v>0</v>
      </c>
      <c r="F41" s="64">
        <f>'KPI Calculations'!I32*$B$5</f>
        <v>0</v>
      </c>
      <c r="G41" s="64">
        <f t="shared" si="0"/>
        <v>0</v>
      </c>
      <c r="H41" s="64">
        <f t="shared" si="1"/>
        <v>34000</v>
      </c>
    </row>
    <row r="42" spans="1:8" ht="40.5" customHeight="1" x14ac:dyDescent="0.25">
      <c r="A42" s="12" t="s">
        <v>21</v>
      </c>
      <c r="B42" s="12"/>
      <c r="C42" s="38">
        <f>SUM(C12:C41)</f>
        <v>480</v>
      </c>
      <c r="D42" s="69">
        <f>AVERAGE(D12:D41)</f>
        <v>408.33333333333331</v>
      </c>
      <c r="E42" s="69">
        <f>AVERAGE(E12:E41)</f>
        <v>399.3055555555556</v>
      </c>
      <c r="F42" s="69">
        <f>AVERAGE(F12:F41)</f>
        <v>8.8888888888888875</v>
      </c>
      <c r="G42" s="70">
        <f>SUMPRODUCT(C12:C41,G12:G41)</f>
        <v>11758000.000000002</v>
      </c>
      <c r="H42" s="70">
        <f>IFERROR(SUMPRODUCT((C12:C41&gt;0)*H12:H41)/SUMPRODUCT((C12:C41&gt;0)*1),0)</f>
        <v>9504.1666666666642</v>
      </c>
    </row>
    <row r="44" spans="1:8" ht="18" customHeight="1" x14ac:dyDescent="0.25">
      <c r="A44" s="71" t="s">
        <v>44</v>
      </c>
      <c r="B44" s="72">
        <f>$B$3</f>
        <v>9800</v>
      </c>
    </row>
    <row r="45" spans="1:8" ht="18" customHeight="1" x14ac:dyDescent="0.25">
      <c r="A45" s="71" t="s">
        <v>45</v>
      </c>
      <c r="B45" s="73">
        <f>AVERAGE('KPI Calculations'!F3:F32)</f>
        <v>480</v>
      </c>
    </row>
    <row r="46" spans="1:8" ht="18" customHeight="1" x14ac:dyDescent="0.25">
      <c r="A46" s="71" t="s">
        <v>46</v>
      </c>
      <c r="B46" s="72">
        <f>B44*0.1*B45</f>
        <v>470400</v>
      </c>
    </row>
    <row r="47" spans="1:8" ht="18" customHeight="1" x14ac:dyDescent="0.25">
      <c r="A47" s="71" t="s">
        <v>47</v>
      </c>
      <c r="B47" s="72">
        <f>B46*30</f>
        <v>14112000</v>
      </c>
    </row>
    <row r="48" spans="1:8" ht="18" customHeight="1" x14ac:dyDescent="0.25">
      <c r="A48" s="71" t="s">
        <v>48</v>
      </c>
      <c r="B48" s="72">
        <f>$B$3*0.1</f>
        <v>980</v>
      </c>
    </row>
  </sheetData>
  <mergeCells count="3">
    <mergeCell ref="A1:H1"/>
    <mergeCell ref="A10:H10"/>
    <mergeCell ref="A42:B4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showGridLines="0" tabSelected="1" zoomScaleNormal="100" workbookViewId="0">
      <selection activeCell="C18" sqref="C18"/>
    </sheetView>
  </sheetViews>
  <sheetFormatPr defaultColWidth="8.7109375" defaultRowHeight="15" x14ac:dyDescent="0.25"/>
  <cols>
    <col min="1" max="1" width="28" customWidth="1"/>
    <col min="2" max="3" width="16" customWidth="1"/>
    <col min="4" max="4" width="12" customWidth="1"/>
    <col min="5" max="5" width="18" customWidth="1"/>
    <col min="6" max="6" width="42" customWidth="1"/>
  </cols>
  <sheetData>
    <row r="1" spans="1:6" ht="27.75" customHeight="1" x14ac:dyDescent="0.25">
      <c r="A1" s="14" t="s">
        <v>49</v>
      </c>
      <c r="B1" s="14"/>
      <c r="C1" s="14"/>
      <c r="D1" s="14"/>
      <c r="E1" s="14"/>
      <c r="F1" s="14"/>
    </row>
    <row r="3" spans="1:6" ht="40.5" customHeight="1" x14ac:dyDescent="0.25">
      <c r="A3" s="9" t="s">
        <v>50</v>
      </c>
      <c r="B3" s="9"/>
      <c r="C3" s="8" t="s">
        <v>51</v>
      </c>
      <c r="D3" s="8"/>
      <c r="E3" s="7" t="s">
        <v>52</v>
      </c>
      <c r="F3" s="7"/>
    </row>
    <row r="4" spans="1:6" ht="34.5" customHeight="1" x14ac:dyDescent="0.25">
      <c r="A4" s="6">
        <f>'KPI Calculations'!F33</f>
        <v>480</v>
      </c>
      <c r="B4" s="6"/>
      <c r="C4" s="5">
        <f>'KPI Calculations'!G33</f>
        <v>1.25</v>
      </c>
      <c r="D4" s="5"/>
      <c r="E4" s="4">
        <f>'KPI Calculations'!H33</f>
        <v>1.0416666666666667</v>
      </c>
      <c r="F4" s="4"/>
    </row>
    <row r="5" spans="1:6" x14ac:dyDescent="0.25">
      <c r="A5" s="6"/>
      <c r="B5" s="6"/>
      <c r="C5" s="5"/>
      <c r="D5" s="5"/>
      <c r="E5" s="4"/>
      <c r="F5" s="4"/>
    </row>
    <row r="8" spans="1:6" ht="19.5" customHeight="1" x14ac:dyDescent="0.25">
      <c r="A8" s="3" t="s">
        <v>53</v>
      </c>
      <c r="B8" s="3"/>
      <c r="C8" s="2" t="s">
        <v>54</v>
      </c>
      <c r="D8" s="2"/>
      <c r="E8" s="1" t="s">
        <v>55</v>
      </c>
      <c r="F8" s="1"/>
    </row>
    <row r="9" spans="1:6" ht="34.5" customHeight="1" x14ac:dyDescent="0.25">
      <c r="A9" s="74">
        <f>'KPI Calculations'!J33</f>
        <v>0.96</v>
      </c>
      <c r="B9" s="74"/>
      <c r="C9" s="75">
        <f>'KPI Calculations'!K33</f>
        <v>0.95416666666666672</v>
      </c>
      <c r="D9" s="75"/>
      <c r="E9" s="76">
        <f>'Cost Impact'!G42</f>
        <v>11758000.000000002</v>
      </c>
      <c r="F9" s="76"/>
    </row>
    <row r="10" spans="1:6" x14ac:dyDescent="0.25">
      <c r="A10" s="74"/>
      <c r="B10" s="74"/>
      <c r="C10" s="75"/>
      <c r="D10" s="75"/>
      <c r="E10" s="76"/>
      <c r="F10" s="76"/>
    </row>
  </sheetData>
  <mergeCells count="13">
    <mergeCell ref="A8:B8"/>
    <mergeCell ref="C8:D8"/>
    <mergeCell ref="E8:F8"/>
    <mergeCell ref="A9:B10"/>
    <mergeCell ref="C9:D10"/>
    <mergeCell ref="E9:F10"/>
    <mergeCell ref="A1:F1"/>
    <mergeCell ref="A3:B3"/>
    <mergeCell ref="C3:D3"/>
    <mergeCell ref="E3:F3"/>
    <mergeCell ref="A4:B5"/>
    <mergeCell ref="C4:D5"/>
    <mergeCell ref="E4:F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KPI Calculations</vt:lpstr>
      <vt:lpstr>Cost Impact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</cp:lastModifiedBy>
  <cp:revision>0</cp:revision>
  <dcterms:created xsi:type="dcterms:W3CDTF">2026-05-27T05:49:06Z</dcterms:created>
  <dcterms:modified xsi:type="dcterms:W3CDTF">2026-06-13T07:52:50Z</dcterms:modified>
  <dc:language>en-US</dc:language>
</cp:coreProperties>
</file>