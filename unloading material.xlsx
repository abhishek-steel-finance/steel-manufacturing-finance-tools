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kariha\Desktop\"/>
    </mc:Choice>
  </mc:AlternateContent>
  <bookViews>
    <workbookView xWindow="0" yWindow="0" windowWidth="8640" windowHeight="8250" tabRatio="500"/>
  </bookViews>
  <sheets>
    <sheet name="Daily Dispatch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0" i="1" l="1"/>
  <c r="O10" i="1"/>
  <c r="N10" i="1"/>
  <c r="M10" i="1"/>
  <c r="L10" i="1"/>
  <c r="J10" i="1"/>
  <c r="I10" i="1"/>
  <c r="H10" i="1"/>
  <c r="K10" i="1" s="1"/>
  <c r="P9" i="1"/>
  <c r="O9" i="1"/>
  <c r="N9" i="1"/>
  <c r="M9" i="1"/>
  <c r="L9" i="1"/>
  <c r="J9" i="1"/>
  <c r="I9" i="1"/>
  <c r="H9" i="1"/>
  <c r="K9" i="1" s="1"/>
  <c r="P8" i="1"/>
  <c r="O8" i="1"/>
  <c r="N8" i="1"/>
  <c r="M8" i="1"/>
  <c r="L8" i="1"/>
  <c r="J8" i="1"/>
  <c r="I8" i="1"/>
  <c r="H8" i="1"/>
  <c r="K8" i="1" s="1"/>
  <c r="P7" i="1"/>
  <c r="O7" i="1"/>
  <c r="N7" i="1"/>
  <c r="M7" i="1"/>
  <c r="L7" i="1"/>
  <c r="J7" i="1"/>
  <c r="I7" i="1"/>
  <c r="K7" i="1" s="1"/>
  <c r="H7" i="1"/>
  <c r="P6" i="1"/>
  <c r="O6" i="1"/>
  <c r="N6" i="1"/>
  <c r="M6" i="1"/>
  <c r="L6" i="1"/>
  <c r="J6" i="1"/>
  <c r="I6" i="1"/>
  <c r="H6" i="1"/>
  <c r="K6" i="1" s="1"/>
  <c r="P5" i="1"/>
  <c r="O5" i="1"/>
  <c r="N5" i="1"/>
  <c r="M5" i="1"/>
  <c r="L5" i="1"/>
  <c r="J5" i="1"/>
  <c r="I5" i="1"/>
  <c r="H5" i="1"/>
  <c r="K5" i="1" s="1"/>
  <c r="P4" i="1"/>
  <c r="O4" i="1"/>
  <c r="N4" i="1"/>
  <c r="M4" i="1"/>
  <c r="L4" i="1"/>
  <c r="J4" i="1"/>
  <c r="I4" i="1"/>
  <c r="H4" i="1"/>
  <c r="K4" i="1" s="1"/>
  <c r="P3" i="1"/>
  <c r="O3" i="1"/>
  <c r="N3" i="1"/>
  <c r="M3" i="1"/>
  <c r="L3" i="1"/>
  <c r="J3" i="1"/>
  <c r="I3" i="1"/>
  <c r="K3" i="1" s="1"/>
  <c r="H3" i="1"/>
</calcChain>
</file>

<file path=xl/sharedStrings.xml><?xml version="1.0" encoding="utf-8"?>
<sst xmlns="http://schemas.openxmlformats.org/spreadsheetml/2006/main" count="94" uniqueCount="20">
  <si>
    <t>DATE</t>
  </si>
  <si>
    <t>WEIGHT</t>
  </si>
  <si>
    <t>SHIFT</t>
  </si>
  <si>
    <t>GRADE</t>
  </si>
  <si>
    <t>SHED</t>
  </si>
  <si>
    <t>10-06-26</t>
  </si>
  <si>
    <t>B</t>
  </si>
  <si>
    <t>L.P</t>
  </si>
  <si>
    <t>NEW C</t>
  </si>
  <si>
    <t>NEW</t>
  </si>
  <si>
    <t>TOTAL</t>
  </si>
  <si>
    <t>A</t>
  </si>
  <si>
    <t>C</t>
  </si>
  <si>
    <t>11-06-26</t>
  </si>
  <si>
    <t>12-06-26</t>
  </si>
  <si>
    <t>13-06-26</t>
  </si>
  <si>
    <t>14-06-26</t>
  </si>
  <si>
    <t>15-06-26</t>
  </si>
  <si>
    <t>16-06-26</t>
  </si>
  <si>
    <t>17-06-26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</si>
</sst>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color rgb="FF59595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375623"/>
        <bgColor rgb="FF595959"/>
      </patternFill>
    </fill>
    <fill>
      <patternFill patternType="solid">
        <fgColor rgb="FF7B2C2C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B2C2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zoomScaleNormal="100" workbookViewId="0">
      <selection activeCell="G12" sqref="G12:P12"/>
    </sheetView>
  </sheetViews>
  <sheetFormatPr defaultColWidth="8.7109375" defaultRowHeight="15" x14ac:dyDescent="0.25"/>
  <cols>
    <col min="1" max="1" width="12" customWidth="1"/>
    <col min="2" max="2" width="10" customWidth="1"/>
    <col min="3" max="4" width="8" customWidth="1"/>
    <col min="5" max="5" width="10" customWidth="1"/>
    <col min="6" max="6" width="3" customWidth="1"/>
    <col min="7" max="7" width="10" customWidth="1"/>
    <col min="8" max="10" width="9" customWidth="1"/>
    <col min="11" max="11" width="10" customWidth="1"/>
    <col min="12" max="16" width="7" customWidth="1"/>
  </cols>
  <sheetData>
    <row r="1" spans="1:16" ht="18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G1" s="4" t="s">
        <v>0</v>
      </c>
      <c r="H1" s="3" t="s">
        <v>4</v>
      </c>
      <c r="I1" s="3"/>
      <c r="J1" s="3"/>
      <c r="K1" s="3"/>
      <c r="L1" s="2" t="s">
        <v>2</v>
      </c>
      <c r="M1" s="2"/>
      <c r="N1" s="2"/>
      <c r="O1" s="1" t="s">
        <v>3</v>
      </c>
      <c r="P1" s="1"/>
    </row>
    <row r="2" spans="1:16" ht="18" customHeight="1" x14ac:dyDescent="0.25">
      <c r="A2" s="6" t="s">
        <v>5</v>
      </c>
      <c r="B2" s="7">
        <v>19.8</v>
      </c>
      <c r="C2" s="6" t="s">
        <v>6</v>
      </c>
      <c r="D2" s="6" t="s">
        <v>6</v>
      </c>
      <c r="E2" s="6" t="s">
        <v>7</v>
      </c>
      <c r="G2" s="4"/>
      <c r="H2" s="5" t="s">
        <v>7</v>
      </c>
      <c r="I2" s="5" t="s">
        <v>8</v>
      </c>
      <c r="J2" s="5" t="s">
        <v>9</v>
      </c>
      <c r="K2" s="8" t="s">
        <v>10</v>
      </c>
      <c r="L2" s="9" t="s">
        <v>11</v>
      </c>
      <c r="M2" s="9" t="s">
        <v>6</v>
      </c>
      <c r="N2" s="9" t="s">
        <v>12</v>
      </c>
      <c r="O2" s="10" t="s">
        <v>11</v>
      </c>
      <c r="P2" s="10" t="s">
        <v>6</v>
      </c>
    </row>
    <row r="3" spans="1:16" ht="18" customHeight="1" x14ac:dyDescent="0.25">
      <c r="A3" s="6" t="s">
        <v>5</v>
      </c>
      <c r="B3" s="7">
        <v>17.059999999999999</v>
      </c>
      <c r="C3" s="6" t="s">
        <v>6</v>
      </c>
      <c r="D3" s="6" t="s">
        <v>6</v>
      </c>
      <c r="E3" s="6" t="s">
        <v>7</v>
      </c>
      <c r="G3" s="8" t="s">
        <v>5</v>
      </c>
      <c r="H3" s="11">
        <f t="shared" ref="H3:H10" si="0">IFERROR(SUMIFS($B:$B,$A:$A,G3,$E:$E,"L.P"),0)</f>
        <v>36.86</v>
      </c>
      <c r="I3" s="11">
        <f t="shared" ref="I3:I10" si="1">IFERROR(SUMIFS($B:$B,$A:$A,G3,$E:$E,"NEW C"),0)</f>
        <v>33.42</v>
      </c>
      <c r="J3" s="11">
        <f t="shared" ref="J3:J10" si="2">IFERROR(SUMIFS($B:$B,$A:$A,G3,$E:$E,"NEW"),0)</f>
        <v>90.52000000000001</v>
      </c>
      <c r="K3" s="12">
        <f t="shared" ref="K3:K10" si="3">IFERROR(H3+I3+J3,0)</f>
        <v>160.80000000000001</v>
      </c>
      <c r="L3" s="13">
        <f t="shared" ref="L3:L10" si="4">IFERROR(COUNTIFS($A:$A,G3,$C:$C,"A"),0)</f>
        <v>0</v>
      </c>
      <c r="M3" s="13">
        <f t="shared" ref="M3:M10" si="5">IFERROR(COUNTIFS($A:$A,G3,$C:$C,"B"),0)</f>
        <v>4</v>
      </c>
      <c r="N3" s="13">
        <f t="shared" ref="N3:N10" si="6">IFERROR(COUNTIFS($A:$A,G3,$C:$C,"C"),0)</f>
        <v>6</v>
      </c>
      <c r="O3" s="14">
        <f t="shared" ref="O3:O10" si="7">IFERROR(COUNTIFS($A:$A,G3,$D:$D,"A"),0)</f>
        <v>6</v>
      </c>
      <c r="P3" s="14">
        <f t="shared" ref="P3:P10" si="8">IFERROR(COUNTIFS($A:$A,G3,$D:$D,"B"),0)</f>
        <v>4</v>
      </c>
    </row>
    <row r="4" spans="1:16" ht="18" customHeight="1" x14ac:dyDescent="0.25">
      <c r="A4" s="6" t="s">
        <v>5</v>
      </c>
      <c r="B4" s="7">
        <v>15.98</v>
      </c>
      <c r="C4" s="6" t="s">
        <v>6</v>
      </c>
      <c r="D4" s="6" t="s">
        <v>6</v>
      </c>
      <c r="E4" s="6" t="s">
        <v>8</v>
      </c>
      <c r="G4" s="8" t="s">
        <v>13</v>
      </c>
      <c r="H4" s="11">
        <f t="shared" si="0"/>
        <v>26.66</v>
      </c>
      <c r="I4" s="11">
        <f t="shared" si="1"/>
        <v>36.26</v>
      </c>
      <c r="J4" s="11">
        <f t="shared" si="2"/>
        <v>46.36</v>
      </c>
      <c r="K4" s="12">
        <f t="shared" si="3"/>
        <v>109.28</v>
      </c>
      <c r="L4" s="13">
        <f t="shared" si="4"/>
        <v>7</v>
      </c>
      <c r="M4" s="13">
        <f t="shared" si="5"/>
        <v>0</v>
      </c>
      <c r="N4" s="13">
        <f t="shared" si="6"/>
        <v>0</v>
      </c>
      <c r="O4" s="14">
        <f t="shared" si="7"/>
        <v>3</v>
      </c>
      <c r="P4" s="14">
        <f t="shared" si="8"/>
        <v>4</v>
      </c>
    </row>
    <row r="5" spans="1:16" ht="18" customHeight="1" x14ac:dyDescent="0.25">
      <c r="A5" s="6" t="s">
        <v>5</v>
      </c>
      <c r="B5" s="7">
        <v>17.440000000000001</v>
      </c>
      <c r="C5" s="6" t="s">
        <v>6</v>
      </c>
      <c r="D5" s="6" t="s">
        <v>6</v>
      </c>
      <c r="E5" s="6" t="s">
        <v>8</v>
      </c>
      <c r="G5" s="8" t="s">
        <v>14</v>
      </c>
      <c r="H5" s="11">
        <f t="shared" si="0"/>
        <v>0</v>
      </c>
      <c r="I5" s="11">
        <f t="shared" si="1"/>
        <v>0</v>
      </c>
      <c r="J5" s="11">
        <f t="shared" si="2"/>
        <v>0</v>
      </c>
      <c r="K5" s="12">
        <f t="shared" si="3"/>
        <v>0</v>
      </c>
      <c r="L5" s="13">
        <f t="shared" si="4"/>
        <v>0</v>
      </c>
      <c r="M5" s="13">
        <f t="shared" si="5"/>
        <v>0</v>
      </c>
      <c r="N5" s="13">
        <f t="shared" si="6"/>
        <v>0</v>
      </c>
      <c r="O5" s="14">
        <f t="shared" si="7"/>
        <v>0</v>
      </c>
      <c r="P5" s="14">
        <f t="shared" si="8"/>
        <v>0</v>
      </c>
    </row>
    <row r="6" spans="1:16" ht="18" customHeight="1" x14ac:dyDescent="0.25">
      <c r="A6" s="6" t="s">
        <v>5</v>
      </c>
      <c r="B6" s="7">
        <v>19.7</v>
      </c>
      <c r="C6" s="6" t="s">
        <v>12</v>
      </c>
      <c r="D6" s="6" t="s">
        <v>11</v>
      </c>
      <c r="E6" s="6" t="s">
        <v>9</v>
      </c>
      <c r="G6" s="8" t="s">
        <v>15</v>
      </c>
      <c r="H6" s="11">
        <f t="shared" si="0"/>
        <v>0</v>
      </c>
      <c r="I6" s="11">
        <f t="shared" si="1"/>
        <v>0</v>
      </c>
      <c r="J6" s="11">
        <f t="shared" si="2"/>
        <v>0</v>
      </c>
      <c r="K6" s="12">
        <f t="shared" si="3"/>
        <v>0</v>
      </c>
      <c r="L6" s="13">
        <f t="shared" si="4"/>
        <v>0</v>
      </c>
      <c r="M6" s="13">
        <f t="shared" si="5"/>
        <v>0</v>
      </c>
      <c r="N6" s="13">
        <f t="shared" si="6"/>
        <v>0</v>
      </c>
      <c r="O6" s="14">
        <f t="shared" si="7"/>
        <v>0</v>
      </c>
      <c r="P6" s="14">
        <f t="shared" si="8"/>
        <v>0</v>
      </c>
    </row>
    <row r="7" spans="1:16" ht="18" customHeight="1" x14ac:dyDescent="0.25">
      <c r="A7" s="6" t="s">
        <v>5</v>
      </c>
      <c r="B7" s="7">
        <v>17.64</v>
      </c>
      <c r="C7" s="6" t="s">
        <v>12</v>
      </c>
      <c r="D7" s="6" t="s">
        <v>11</v>
      </c>
      <c r="E7" s="6" t="s">
        <v>9</v>
      </c>
      <c r="G7" s="8" t="s">
        <v>16</v>
      </c>
      <c r="H7" s="11">
        <f t="shared" si="0"/>
        <v>0</v>
      </c>
      <c r="I7" s="11">
        <f t="shared" si="1"/>
        <v>0</v>
      </c>
      <c r="J7" s="11">
        <f t="shared" si="2"/>
        <v>0</v>
      </c>
      <c r="K7" s="12">
        <f t="shared" si="3"/>
        <v>0</v>
      </c>
      <c r="L7" s="13">
        <f t="shared" si="4"/>
        <v>0</v>
      </c>
      <c r="M7" s="13">
        <f t="shared" si="5"/>
        <v>0</v>
      </c>
      <c r="N7" s="13">
        <f t="shared" si="6"/>
        <v>0</v>
      </c>
      <c r="O7" s="14">
        <f t="shared" si="7"/>
        <v>0</v>
      </c>
      <c r="P7" s="14">
        <f t="shared" si="8"/>
        <v>0</v>
      </c>
    </row>
    <row r="8" spans="1:16" ht="18" customHeight="1" x14ac:dyDescent="0.25">
      <c r="A8" s="6" t="s">
        <v>5</v>
      </c>
      <c r="B8" s="7">
        <v>18.86</v>
      </c>
      <c r="C8" s="6" t="s">
        <v>12</v>
      </c>
      <c r="D8" s="6" t="s">
        <v>11</v>
      </c>
      <c r="E8" s="6" t="s">
        <v>9</v>
      </c>
      <c r="G8" s="8" t="s">
        <v>17</v>
      </c>
      <c r="H8" s="11">
        <f t="shared" si="0"/>
        <v>0</v>
      </c>
      <c r="I8" s="11">
        <f t="shared" si="1"/>
        <v>0</v>
      </c>
      <c r="J8" s="11">
        <f t="shared" si="2"/>
        <v>0</v>
      </c>
      <c r="K8" s="12">
        <f t="shared" si="3"/>
        <v>0</v>
      </c>
      <c r="L8" s="13">
        <f t="shared" si="4"/>
        <v>0</v>
      </c>
      <c r="M8" s="13">
        <f t="shared" si="5"/>
        <v>0</v>
      </c>
      <c r="N8" s="13">
        <f t="shared" si="6"/>
        <v>0</v>
      </c>
      <c r="O8" s="14">
        <f t="shared" si="7"/>
        <v>0</v>
      </c>
      <c r="P8" s="14">
        <f t="shared" si="8"/>
        <v>0</v>
      </c>
    </row>
    <row r="9" spans="1:16" ht="18" customHeight="1" x14ac:dyDescent="0.25">
      <c r="A9" s="6" t="s">
        <v>5</v>
      </c>
      <c r="B9" s="7">
        <v>10.62</v>
      </c>
      <c r="C9" s="6" t="s">
        <v>12</v>
      </c>
      <c r="D9" s="6" t="s">
        <v>11</v>
      </c>
      <c r="E9" s="6" t="s">
        <v>9</v>
      </c>
      <c r="G9" s="8" t="s">
        <v>18</v>
      </c>
      <c r="H9" s="11">
        <f t="shared" si="0"/>
        <v>0</v>
      </c>
      <c r="I9" s="11">
        <f t="shared" si="1"/>
        <v>0</v>
      </c>
      <c r="J9" s="11">
        <f t="shared" si="2"/>
        <v>0</v>
      </c>
      <c r="K9" s="12">
        <f t="shared" si="3"/>
        <v>0</v>
      </c>
      <c r="L9" s="13">
        <f t="shared" si="4"/>
        <v>0</v>
      </c>
      <c r="M9" s="13">
        <f t="shared" si="5"/>
        <v>0</v>
      </c>
      <c r="N9" s="13">
        <f t="shared" si="6"/>
        <v>0</v>
      </c>
      <c r="O9" s="14">
        <f t="shared" si="7"/>
        <v>0</v>
      </c>
      <c r="P9" s="14">
        <f t="shared" si="8"/>
        <v>0</v>
      </c>
    </row>
    <row r="10" spans="1:16" ht="18" customHeight="1" x14ac:dyDescent="0.25">
      <c r="A10" s="6" t="s">
        <v>5</v>
      </c>
      <c r="B10" s="7">
        <v>15.24</v>
      </c>
      <c r="C10" s="6" t="s">
        <v>12</v>
      </c>
      <c r="D10" s="6" t="s">
        <v>11</v>
      </c>
      <c r="E10" s="6" t="s">
        <v>9</v>
      </c>
      <c r="G10" s="8" t="s">
        <v>19</v>
      </c>
      <c r="H10" s="11">
        <f t="shared" si="0"/>
        <v>0</v>
      </c>
      <c r="I10" s="11">
        <f t="shared" si="1"/>
        <v>0</v>
      </c>
      <c r="J10" s="11">
        <f t="shared" si="2"/>
        <v>0</v>
      </c>
      <c r="K10" s="12">
        <f t="shared" si="3"/>
        <v>0</v>
      </c>
      <c r="L10" s="13">
        <f t="shared" si="4"/>
        <v>0</v>
      </c>
      <c r="M10" s="13">
        <f t="shared" si="5"/>
        <v>0</v>
      </c>
      <c r="N10" s="13">
        <f t="shared" si="6"/>
        <v>0</v>
      </c>
      <c r="O10" s="14">
        <f t="shared" si="7"/>
        <v>0</v>
      </c>
      <c r="P10" s="14">
        <f t="shared" si="8"/>
        <v>0</v>
      </c>
    </row>
    <row r="11" spans="1:16" ht="18" customHeight="1" x14ac:dyDescent="0.25">
      <c r="A11" s="6" t="s">
        <v>5</v>
      </c>
      <c r="B11" s="7">
        <v>8.4600000000000009</v>
      </c>
      <c r="C11" s="6" t="s">
        <v>12</v>
      </c>
      <c r="D11" s="6" t="s">
        <v>11</v>
      </c>
      <c r="E11" s="6" t="s">
        <v>9</v>
      </c>
    </row>
    <row r="12" spans="1:16" ht="19.5" customHeight="1" x14ac:dyDescent="0.25">
      <c r="A12" s="6" t="s">
        <v>13</v>
      </c>
      <c r="B12" s="7">
        <v>18.16</v>
      </c>
      <c r="C12" s="6" t="s">
        <v>11</v>
      </c>
      <c r="D12" s="6" t="s">
        <v>11</v>
      </c>
      <c r="E12" s="6" t="s">
        <v>9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25">
      <c r="A13" s="6" t="s">
        <v>13</v>
      </c>
      <c r="B13" s="7">
        <v>10.96</v>
      </c>
      <c r="C13" s="6" t="s">
        <v>11</v>
      </c>
      <c r="D13" s="6" t="s">
        <v>11</v>
      </c>
      <c r="E13" s="6" t="s">
        <v>9</v>
      </c>
    </row>
    <row r="14" spans="1:16" x14ac:dyDescent="0.25">
      <c r="A14" s="6" t="s">
        <v>13</v>
      </c>
      <c r="B14" s="7">
        <v>19.399999999999999</v>
      </c>
      <c r="C14" s="6" t="s">
        <v>11</v>
      </c>
      <c r="D14" s="6" t="s">
        <v>6</v>
      </c>
      <c r="E14" s="6" t="s">
        <v>8</v>
      </c>
    </row>
    <row r="15" spans="1:16" x14ac:dyDescent="0.25">
      <c r="A15" s="6" t="s">
        <v>13</v>
      </c>
      <c r="B15" s="7">
        <v>9.9600000000000009</v>
      </c>
      <c r="C15" s="6" t="s">
        <v>11</v>
      </c>
      <c r="D15" s="6" t="s">
        <v>6</v>
      </c>
      <c r="E15" s="6" t="s">
        <v>7</v>
      </c>
    </row>
    <row r="16" spans="1:16" x14ac:dyDescent="0.25">
      <c r="A16" s="6" t="s">
        <v>13</v>
      </c>
      <c r="B16" s="7">
        <v>17.239999999999998</v>
      </c>
      <c r="C16" s="6" t="s">
        <v>11</v>
      </c>
      <c r="D16" s="6" t="s">
        <v>11</v>
      </c>
      <c r="E16" s="6" t="s">
        <v>9</v>
      </c>
    </row>
    <row r="17" spans="1:5" x14ac:dyDescent="0.25">
      <c r="A17" s="6" t="s">
        <v>13</v>
      </c>
      <c r="B17" s="7">
        <v>16.86</v>
      </c>
      <c r="C17" s="6" t="s">
        <v>11</v>
      </c>
      <c r="D17" s="6" t="s">
        <v>6</v>
      </c>
      <c r="E17" s="6" t="s">
        <v>8</v>
      </c>
    </row>
    <row r="18" spans="1:5" x14ac:dyDescent="0.25">
      <c r="A18" s="6" t="s">
        <v>13</v>
      </c>
      <c r="B18" s="7">
        <v>16.7</v>
      </c>
      <c r="C18" s="6" t="s">
        <v>11</v>
      </c>
      <c r="D18" s="6" t="s">
        <v>6</v>
      </c>
      <c r="E18" s="6" t="s">
        <v>7</v>
      </c>
    </row>
  </sheetData>
  <mergeCells count="4">
    <mergeCell ref="G1:G2"/>
    <mergeCell ref="H1:K1"/>
    <mergeCell ref="L1:N1"/>
    <mergeCell ref="O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Dispatch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Tikariha</cp:lastModifiedBy>
  <cp:revision>0</cp:revision>
  <dcterms:created xsi:type="dcterms:W3CDTF">2026-06-11T10:18:58Z</dcterms:created>
  <dcterms:modified xsi:type="dcterms:W3CDTF">2026-06-13T11:09:35Z</dcterms:modified>
  <dc:language>en-US</dc:language>
</cp:coreProperties>
</file>